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claude-projects/worldcup2026/data/"/>
    </mc:Choice>
  </mc:AlternateContent>
  <xr:revisionPtr revIDLastSave="0" documentId="13_ncr:1_{8A07E064-0C75-2E48-805A-772421E2A7B7}" xr6:coauthVersionLast="47" xr6:coauthVersionMax="47" xr10:uidLastSave="{00000000-0000-0000-0000-000000000000}"/>
  <bookViews>
    <workbookView xWindow="0" yWindow="500" windowWidth="51200" windowHeight="27040" activeTab="2" xr2:uid="{F4F4FD36-BF3F-8A48-AE70-B40A5136DB1E}"/>
  </bookViews>
  <sheets>
    <sheet name="historical_summary" sheetId="4" r:id="rId1"/>
    <sheet name="2010-2022_team_coaches_records" sheetId="2" r:id="rId2"/>
    <sheet name="2026_team_coaches" sheetId="5" r:id="rId3"/>
    <sheet name="historically_strong_teams" sheetId="3" r:id="rId4"/>
    <sheet name="stage_scoring" sheetId="6" r:id="rId5"/>
  </sheets>
  <definedNames>
    <definedName name="_xlnm._FilterDatabase" localSheetId="1" hidden="1">'2010-2022_team_coaches_records'!$A$1:$M$129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4" l="1"/>
  <c r="M30" i="4"/>
  <c r="M31" i="4"/>
  <c r="L29" i="4"/>
  <c r="L30" i="4"/>
  <c r="L31" i="4"/>
  <c r="K29" i="4"/>
  <c r="K31" i="4"/>
  <c r="J30" i="4"/>
  <c r="J31" i="4"/>
  <c r="M28" i="4"/>
  <c r="L28" i="4"/>
  <c r="K28" i="4"/>
  <c r="M21" i="4"/>
  <c r="M22" i="4"/>
  <c r="M23" i="4"/>
  <c r="M20" i="4"/>
  <c r="L21" i="4"/>
  <c r="L22" i="4"/>
  <c r="L23" i="4"/>
  <c r="L20" i="4"/>
  <c r="K21" i="4"/>
  <c r="K23" i="4"/>
  <c r="K20" i="4"/>
  <c r="J22" i="4"/>
  <c r="J23" i="4"/>
  <c r="B3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2" i="5"/>
  <c r="M2" i="2"/>
  <c r="C4" i="4"/>
  <c r="C5" i="4"/>
  <c r="C6" i="4"/>
  <c r="C3" i="4"/>
  <c r="B4" i="4"/>
  <c r="B5" i="4"/>
  <c r="B6" i="4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2" i="2"/>
  <c r="M3" i="2"/>
  <c r="M4" i="2"/>
  <c r="M5" i="2"/>
  <c r="M6" i="2"/>
  <c r="D28" i="4" s="1"/>
  <c r="M7" i="2"/>
  <c r="M8" i="2"/>
  <c r="M9" i="2"/>
  <c r="M10" i="2"/>
  <c r="I28" i="4" s="1"/>
  <c r="M11" i="2"/>
  <c r="M12" i="2"/>
  <c r="M13" i="2"/>
  <c r="M14" i="2"/>
  <c r="M15" i="2"/>
  <c r="M16" i="2"/>
  <c r="M17" i="2"/>
  <c r="M18" i="2"/>
  <c r="F28" i="4" s="1"/>
  <c r="M19" i="2"/>
  <c r="M20" i="2"/>
  <c r="M21" i="2"/>
  <c r="M22" i="2"/>
  <c r="M23" i="2"/>
  <c r="M24" i="2"/>
  <c r="M25" i="2"/>
  <c r="M26" i="2"/>
  <c r="M27" i="2"/>
  <c r="M28" i="2"/>
  <c r="M29" i="2"/>
  <c r="M30" i="2"/>
  <c r="G28" i="4" s="1"/>
  <c r="M31" i="2"/>
  <c r="M32" i="2"/>
  <c r="M33" i="2"/>
  <c r="M34" i="2"/>
  <c r="M35" i="2"/>
  <c r="M36" i="2"/>
  <c r="M37" i="2"/>
  <c r="M38" i="2"/>
  <c r="M39" i="2"/>
  <c r="M40" i="2"/>
  <c r="M41" i="2"/>
  <c r="M42" i="2"/>
  <c r="J29" i="4" s="1"/>
  <c r="M43" i="2"/>
  <c r="M44" i="2"/>
  <c r="M45" i="2"/>
  <c r="M46" i="2"/>
  <c r="M47" i="2"/>
  <c r="M48" i="2"/>
  <c r="M49" i="2"/>
  <c r="M50" i="2"/>
  <c r="M51" i="2"/>
  <c r="M52" i="2"/>
  <c r="M53" i="2"/>
  <c r="M54" i="2"/>
  <c r="F21" i="4" s="1"/>
  <c r="M55" i="2"/>
  <c r="M56" i="2"/>
  <c r="M57" i="2"/>
  <c r="M58" i="2"/>
  <c r="G29" i="4" s="1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G22" i="4" s="1"/>
  <c r="M75" i="2"/>
  <c r="M76" i="2"/>
  <c r="M77" i="2"/>
  <c r="M78" i="2"/>
  <c r="M79" i="2"/>
  <c r="M80" i="2"/>
  <c r="F30" i="4" s="1"/>
  <c r="M81" i="2"/>
  <c r="M82" i="2"/>
  <c r="M83" i="2"/>
  <c r="M84" i="2"/>
  <c r="M85" i="2"/>
  <c r="M86" i="2"/>
  <c r="M87" i="2"/>
  <c r="M88" i="2"/>
  <c r="M89" i="2"/>
  <c r="M90" i="2"/>
  <c r="K30" i="4" s="1"/>
  <c r="M91" i="2"/>
  <c r="M92" i="2"/>
  <c r="M93" i="2"/>
  <c r="E30" i="4" s="1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G31" i="4" s="1"/>
  <c r="M107" i="2"/>
  <c r="M108" i="2"/>
  <c r="M109" i="2"/>
  <c r="M110" i="2"/>
  <c r="F31" i="4" s="1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I31" i="4" s="1"/>
  <c r="C23" i="4" l="1"/>
  <c r="C20" i="4"/>
  <c r="D22" i="4"/>
  <c r="F22" i="4"/>
  <c r="H31" i="4"/>
  <c r="B29" i="4"/>
  <c r="H28" i="4"/>
  <c r="B23" i="4"/>
  <c r="C30" i="4"/>
  <c r="E29" i="4"/>
  <c r="H22" i="4"/>
  <c r="C22" i="4"/>
  <c r="F23" i="4"/>
  <c r="D23" i="4"/>
  <c r="I30" i="4"/>
  <c r="J28" i="4"/>
  <c r="B20" i="4"/>
  <c r="G23" i="4"/>
  <c r="C31" i="4"/>
  <c r="D29" i="4"/>
  <c r="I29" i="4"/>
  <c r="E28" i="4"/>
  <c r="G21" i="4"/>
  <c r="I20" i="4"/>
  <c r="I23" i="4"/>
  <c r="H29" i="4"/>
  <c r="E31" i="4"/>
  <c r="B30" i="4"/>
  <c r="H30" i="4"/>
  <c r="C21" i="4"/>
  <c r="D21" i="4"/>
  <c r="B28" i="4"/>
  <c r="B31" i="4"/>
  <c r="E20" i="4"/>
  <c r="J21" i="4"/>
  <c r="D20" i="4"/>
  <c r="G20" i="4"/>
  <c r="I21" i="4"/>
  <c r="E23" i="4"/>
  <c r="H23" i="4"/>
  <c r="B22" i="4"/>
  <c r="E22" i="4"/>
  <c r="C28" i="4"/>
  <c r="B21" i="4"/>
  <c r="E21" i="4"/>
  <c r="H21" i="4"/>
  <c r="K22" i="4"/>
  <c r="F29" i="4"/>
  <c r="F20" i="4"/>
  <c r="H20" i="4"/>
  <c r="G30" i="4"/>
  <c r="C29" i="4"/>
  <c r="I22" i="4"/>
  <c r="D31" i="4"/>
  <c r="D30" i="4"/>
  <c r="J20" i="4"/>
  <c r="D5" i="4"/>
  <c r="F5" i="4" s="1"/>
  <c r="D6" i="4"/>
  <c r="F6" i="4" s="1"/>
  <c r="G11" i="4"/>
  <c r="F14" i="4"/>
  <c r="E14" i="4"/>
  <c r="E13" i="4"/>
  <c r="E11" i="4"/>
  <c r="D11" i="4"/>
  <c r="G14" i="4"/>
  <c r="E12" i="4"/>
  <c r="D4" i="4"/>
  <c r="F4" i="4" s="1"/>
  <c r="F37" i="4" s="1"/>
  <c r="D3" i="4"/>
  <c r="F3" i="4" s="1"/>
  <c r="F36" i="4" s="1"/>
  <c r="F13" i="4"/>
  <c r="E3" i="4"/>
  <c r="E36" i="4" s="1"/>
  <c r="F12" i="4"/>
  <c r="E6" i="4"/>
  <c r="E39" i="4" s="1"/>
  <c r="E5" i="4"/>
  <c r="E38" i="4" s="1"/>
  <c r="F11" i="4"/>
  <c r="D14" i="4"/>
  <c r="E4" i="4"/>
  <c r="E37" i="4" s="1"/>
  <c r="D13" i="4"/>
  <c r="D12" i="4"/>
  <c r="G13" i="4"/>
  <c r="G12" i="4"/>
  <c r="C7" i="4"/>
  <c r="B7" i="4"/>
  <c r="G50" i="4" l="1"/>
  <c r="C45" i="4"/>
  <c r="F50" i="4"/>
  <c r="E45" i="4"/>
  <c r="F39" i="4"/>
  <c r="B44" i="4"/>
  <c r="D50" i="4"/>
  <c r="B45" i="4"/>
  <c r="F44" i="4"/>
  <c r="G44" i="4"/>
  <c r="C44" i="4"/>
  <c r="D44" i="4"/>
  <c r="G45" i="4"/>
  <c r="E50" i="4"/>
  <c r="E44" i="4"/>
  <c r="F38" i="4"/>
  <c r="D45" i="4"/>
  <c r="B50" i="4"/>
  <c r="C50" i="4"/>
  <c r="F45" i="4"/>
  <c r="D39" i="4"/>
  <c r="B39" i="4" s="1"/>
  <c r="D36" i="4"/>
  <c r="B36" i="4" s="1"/>
  <c r="D37" i="4"/>
  <c r="B37" i="4" s="1"/>
  <c r="D38" i="4"/>
  <c r="E15" i="4"/>
  <c r="G15" i="4"/>
  <c r="B14" i="4"/>
  <c r="F7" i="4"/>
  <c r="F15" i="4"/>
  <c r="B13" i="4"/>
  <c r="E7" i="4"/>
  <c r="D7" i="4"/>
  <c r="B12" i="4"/>
  <c r="G6" i="4"/>
  <c r="G3" i="4"/>
  <c r="B11" i="4"/>
  <c r="G4" i="4"/>
  <c r="G5" i="4"/>
  <c r="D15" i="4"/>
  <c r="G36" i="4" l="1"/>
  <c r="C36" i="4" s="1"/>
  <c r="F51" i="4"/>
  <c r="C51" i="4"/>
  <c r="G51" i="4"/>
  <c r="B51" i="4"/>
  <c r="E51" i="4"/>
  <c r="D51" i="4"/>
  <c r="B38" i="4"/>
  <c r="C12" i="4"/>
  <c r="G37" i="4"/>
  <c r="C37" i="4" s="1"/>
  <c r="C14" i="4"/>
  <c r="G39" i="4"/>
  <c r="C39" i="4" s="1"/>
  <c r="C13" i="4"/>
  <c r="G38" i="4"/>
  <c r="C38" i="4" s="1"/>
  <c r="B15" i="4"/>
  <c r="G7" i="4"/>
  <c r="C11" i="4"/>
  <c r="C15" i="4" l="1"/>
</calcChain>
</file>

<file path=xl/sharedStrings.xml><?xml version="1.0" encoding="utf-8"?>
<sst xmlns="http://schemas.openxmlformats.org/spreadsheetml/2006/main" count="1257" uniqueCount="291">
  <si>
    <t>team</t>
  </si>
  <si>
    <t>confederation</t>
  </si>
  <si>
    <t>head_coach</t>
  </si>
  <si>
    <t>coach_nationality</t>
  </si>
  <si>
    <t>Argentina</t>
  </si>
  <si>
    <t>CONMEBOL</t>
  </si>
  <si>
    <t>Lionel Scaloni</t>
  </si>
  <si>
    <t>Australia</t>
  </si>
  <si>
    <t>AFC</t>
  </si>
  <si>
    <t>Graham Arnold</t>
  </si>
  <si>
    <t>Belgium</t>
  </si>
  <si>
    <t>UEFA</t>
  </si>
  <si>
    <t>Brazil</t>
  </si>
  <si>
    <t>Carlo Ancelotti</t>
  </si>
  <si>
    <t>Italy</t>
  </si>
  <si>
    <t>Canada</t>
  </si>
  <si>
    <t>CONCACAF</t>
  </si>
  <si>
    <t>Jesse Marsch</t>
  </si>
  <si>
    <t>United States</t>
  </si>
  <si>
    <t>Cameroon</t>
  </si>
  <si>
    <t>CAF</t>
  </si>
  <si>
    <t>Costa Rica</t>
  </si>
  <si>
    <t>Croatia</t>
  </si>
  <si>
    <t>Zlatko Dalić</t>
  </si>
  <si>
    <t>Czech Republic</t>
  </si>
  <si>
    <t>Denmark</t>
  </si>
  <si>
    <t>DR Congo</t>
  </si>
  <si>
    <t>Ecuador</t>
  </si>
  <si>
    <t>Egypt</t>
  </si>
  <si>
    <t>England</t>
  </si>
  <si>
    <t>France</t>
  </si>
  <si>
    <t>Didier Deschamps</t>
  </si>
  <si>
    <t>Germany</t>
  </si>
  <si>
    <t>Ghana</t>
  </si>
  <si>
    <t>Iran</t>
  </si>
  <si>
    <t>Iraq</t>
  </si>
  <si>
    <t>Japan</t>
  </si>
  <si>
    <t>Mexico</t>
  </si>
  <si>
    <t>Javier Aguirre</t>
  </si>
  <si>
    <t>Morocco</t>
  </si>
  <si>
    <t>Walid Regragui</t>
  </si>
  <si>
    <t>Netherlands</t>
  </si>
  <si>
    <t>New Zealand</t>
  </si>
  <si>
    <t>OFC</t>
  </si>
  <si>
    <t>Nigeria</t>
  </si>
  <si>
    <t>Norway</t>
  </si>
  <si>
    <t>Panama</t>
  </si>
  <si>
    <t>Paraguay</t>
  </si>
  <si>
    <t>Poland</t>
  </si>
  <si>
    <t>Portugal</t>
  </si>
  <si>
    <t>Roberto Martínez</t>
  </si>
  <si>
    <t>Spain</t>
  </si>
  <si>
    <t>Saudi Arabia</t>
  </si>
  <si>
    <t>Hervé Renard</t>
  </si>
  <si>
    <t>Scotland</t>
  </si>
  <si>
    <t>Steve Clarke</t>
  </si>
  <si>
    <t>Senegal</t>
  </si>
  <si>
    <t>Serbia</t>
  </si>
  <si>
    <t>South Africa</t>
  </si>
  <si>
    <t>South Korea</t>
  </si>
  <si>
    <t>Sweden</t>
  </si>
  <si>
    <t>Switzerland</t>
  </si>
  <si>
    <t>Tunisia</t>
  </si>
  <si>
    <t>Turkey</t>
  </si>
  <si>
    <t>Mauricio Pochettino</t>
  </si>
  <si>
    <t>Uruguay</t>
  </si>
  <si>
    <t>Uzbekistan</t>
  </si>
  <si>
    <t>Fabio Cannavaro</t>
  </si>
  <si>
    <t>Wales</t>
  </si>
  <si>
    <t>year</t>
  </si>
  <si>
    <t>coach</t>
  </si>
  <si>
    <t>is_native_coach</t>
  </si>
  <si>
    <t>group</t>
  </si>
  <si>
    <t>group_record</t>
  </si>
  <si>
    <t>final_stage</t>
  </si>
  <si>
    <t>group_wins</t>
  </si>
  <si>
    <t>group_draws</t>
  </si>
  <si>
    <t>group_losses</t>
  </si>
  <si>
    <t>Carlos Alberto Parreira</t>
  </si>
  <si>
    <t>No</t>
  </si>
  <si>
    <t>Group A</t>
  </si>
  <si>
    <t>Group stage</t>
  </si>
  <si>
    <t>Yes</t>
  </si>
  <si>
    <t>Round of 16</t>
  </si>
  <si>
    <t>Óscar Tabárez</t>
  </si>
  <si>
    <t>Semi-finals</t>
  </si>
  <si>
    <t>Raymond Domenech</t>
  </si>
  <si>
    <t>0-1-2</t>
  </si>
  <si>
    <t>Diego Maradona</t>
  </si>
  <si>
    <t>Group B</t>
  </si>
  <si>
    <t>3-0-0</t>
  </si>
  <si>
    <t>Quarter-finals</t>
  </si>
  <si>
    <t>Lars Lagerbäck</t>
  </si>
  <si>
    <t>Huh Jung-moo</t>
  </si>
  <si>
    <t>Greece</t>
  </si>
  <si>
    <t>Otto Rehhagel</t>
  </si>
  <si>
    <t>1-0-2</t>
  </si>
  <si>
    <t>Fabio Capello</t>
  </si>
  <si>
    <t>Group C</t>
  </si>
  <si>
    <t>Bob Bradley</t>
  </si>
  <si>
    <t>Algeria</t>
  </si>
  <si>
    <t>Rabah Saâdane</t>
  </si>
  <si>
    <t>Slovenia</t>
  </si>
  <si>
    <t>Matjaž Kek</t>
  </si>
  <si>
    <t>Joachim Löw</t>
  </si>
  <si>
    <t>Group D</t>
  </si>
  <si>
    <t>2-0-1</t>
  </si>
  <si>
    <t>Pim Verbeek</t>
  </si>
  <si>
    <t>Radomir Antić</t>
  </si>
  <si>
    <t>Milovan Rajevac</t>
  </si>
  <si>
    <t>Bert van Marwijk</t>
  </si>
  <si>
    <t>Group E</t>
  </si>
  <si>
    <t>Runners-up</t>
  </si>
  <si>
    <t>Morten Olsen</t>
  </si>
  <si>
    <t>Takeshi Okada</t>
  </si>
  <si>
    <t>Paul Le Guen</t>
  </si>
  <si>
    <t>0-0-3</t>
  </si>
  <si>
    <t>Marcello Lippi</t>
  </si>
  <si>
    <t>Group F</t>
  </si>
  <si>
    <t>0-2-1</t>
  </si>
  <si>
    <t>Gerardo Martino</t>
  </si>
  <si>
    <t>Ricki Herbert</t>
  </si>
  <si>
    <t>0-3-0</t>
  </si>
  <si>
    <t>Slovakia</t>
  </si>
  <si>
    <t>Vladimir Weiss</t>
  </si>
  <si>
    <t>Dunga</t>
  </si>
  <si>
    <t>Group G</t>
  </si>
  <si>
    <t>North Korea</t>
  </si>
  <si>
    <t>Kim Jong-hun</t>
  </si>
  <si>
    <t>Ivory Coast</t>
  </si>
  <si>
    <t>Sven-Göran Eriksson</t>
  </si>
  <si>
    <t>Carlos Queiroz</t>
  </si>
  <si>
    <t>Vicente del Bosque</t>
  </si>
  <si>
    <t>Group H</t>
  </si>
  <si>
    <t>Winners</t>
  </si>
  <si>
    <t>Ottmar Hitzfeld</t>
  </si>
  <si>
    <t>Honduras</t>
  </si>
  <si>
    <t>Reinaldo Rueda</t>
  </si>
  <si>
    <t>Colombia</t>
  </si>
  <si>
    <t>Chile</t>
  </si>
  <si>
    <t>Marcelo Bielsa</t>
  </si>
  <si>
    <t>Luiz Felipe Scolari</t>
  </si>
  <si>
    <t>Niko Kovač</t>
  </si>
  <si>
    <t>Miguel Herrera</t>
  </si>
  <si>
    <t>Volker Finke</t>
  </si>
  <si>
    <t>Louis van Gaal</t>
  </si>
  <si>
    <t>Jorge Sampaoli</t>
  </si>
  <si>
    <t>Ange Postecoglou</t>
  </si>
  <si>
    <t>José Pékerman</t>
  </si>
  <si>
    <t>Fernando Santos</t>
  </si>
  <si>
    <t>Sabri Lamouchi</t>
  </si>
  <si>
    <t>Alberto Zaccheroni</t>
  </si>
  <si>
    <t>Jorge Luis Pinto</t>
  </si>
  <si>
    <t>Roy Hodgson</t>
  </si>
  <si>
    <t>Cesare Prandelli</t>
  </si>
  <si>
    <t>Luis Fernando Suárez</t>
  </si>
  <si>
    <t>Alejandro Sabella</t>
  </si>
  <si>
    <t>Bosnia and Herzegovina</t>
  </si>
  <si>
    <t>Safet Sušić</t>
  </si>
  <si>
    <t>Stephen Keshi</t>
  </si>
  <si>
    <t>Paulo Bento</t>
  </si>
  <si>
    <t>Kwesi Appiah</t>
  </si>
  <si>
    <t>Jürgen Klinsmann</t>
  </si>
  <si>
    <t>Marc Wilmots</t>
  </si>
  <si>
    <t>Vahid Halilhodžić</t>
  </si>
  <si>
    <t>Russia</t>
  </si>
  <si>
    <t>Hong Myung-bo</t>
  </si>
  <si>
    <t>Stanislav Cherchesov</t>
  </si>
  <si>
    <t>Juan Antonio Pizzi</t>
  </si>
  <si>
    <t>Héctor Cúper</t>
  </si>
  <si>
    <t>Fernando Hierro</t>
  </si>
  <si>
    <t>Peru</t>
  </si>
  <si>
    <t>Ricardo Gareca</t>
  </si>
  <si>
    <t>Åge Hareide</t>
  </si>
  <si>
    <t>Iceland</t>
  </si>
  <si>
    <t>Heimir Hallgrímsson</t>
  </si>
  <si>
    <t>Gernot Rohr</t>
  </si>
  <si>
    <t>Tite</t>
  </si>
  <si>
    <t>Vladimir Petković</t>
  </si>
  <si>
    <t>Óscar Ramírez</t>
  </si>
  <si>
    <t>Mladen Krstajić</t>
  </si>
  <si>
    <t>Juan Carlos Osorio</t>
  </si>
  <si>
    <t>Janne Andersson</t>
  </si>
  <si>
    <t>Shin Tae-yong</t>
  </si>
  <si>
    <t>Hernán Darío Gómez</t>
  </si>
  <si>
    <t>Nabil Maâloul</t>
  </si>
  <si>
    <t>Gareth Southgate</t>
  </si>
  <si>
    <t>Adam Nawałka</t>
  </si>
  <si>
    <t>Aliou Cissé</t>
  </si>
  <si>
    <t>Akira Nishino</t>
  </si>
  <si>
    <t>Qatar</t>
  </si>
  <si>
    <t>Félix Sánchez</t>
  </si>
  <si>
    <t>Gustavo Alfaro</t>
  </si>
  <si>
    <t>Gregg Berhalter</t>
  </si>
  <si>
    <t>Rob Page</t>
  </si>
  <si>
    <t>Czesław Michniewicz</t>
  </si>
  <si>
    <t>Kasper Hjulmand</t>
  </si>
  <si>
    <t>Jalel Kadri</t>
  </si>
  <si>
    <t>Luis Enrique</t>
  </si>
  <si>
    <t>Hansi Flick</t>
  </si>
  <si>
    <t>Hajime Moriyasu</t>
  </si>
  <si>
    <t>John Herdman</t>
  </si>
  <si>
    <t>Dragan Stojković</t>
  </si>
  <si>
    <t>Murat Yakin</t>
  </si>
  <si>
    <t>Rigobert Song</t>
  </si>
  <si>
    <t>Otto Addo</t>
  </si>
  <si>
    <t>Diego Alonso</t>
  </si>
  <si>
    <t>1-1-1</t>
  </si>
  <si>
    <t>2-1-0</t>
  </si>
  <si>
    <t>1-2-0</t>
  </si>
  <si>
    <t>is_native</t>
  </si>
  <si>
    <t>top_team</t>
  </si>
  <si>
    <t>group_points</t>
  </si>
  <si>
    <t>native</t>
  </si>
  <si>
    <t>non_native</t>
  </si>
  <si>
    <t>native_pts_avg</t>
  </si>
  <si>
    <t>nn_pts_avg</t>
  </si>
  <si>
    <t>top_native_pts_avg</t>
  </si>
  <si>
    <t>top_nn_pts_avg</t>
  </si>
  <si>
    <t>scrub_native_pts_avg</t>
  </si>
  <si>
    <t>scrub_nn_pts_avg</t>
  </si>
  <si>
    <t>Average Points. Native vs. Non-Native Coach</t>
  </si>
  <si>
    <t>top_native</t>
  </si>
  <si>
    <t>top_nn</t>
  </si>
  <si>
    <t>scrub_native</t>
  </si>
  <si>
    <t>scrub_nn</t>
  </si>
  <si>
    <t>Vladimir Petkoviƒá</t>
  </si>
  <si>
    <t>Tony Popovic</t>
  </si>
  <si>
    <t>Austria</t>
  </si>
  <si>
    <t>Ralf Rangnick</t>
  </si>
  <si>
    <t>Rudi Garcia</t>
  </si>
  <si>
    <t>Bosnia &amp; Herzegovina</t>
  </si>
  <si>
    <t>Sergej Barbarez</t>
  </si>
  <si>
    <t>Cape Verde</t>
  </si>
  <si>
    <t>Bubista</t>
  </si>
  <si>
    <t>Miroslav Koubek</t>
  </si>
  <si>
    <t>Hossam Hassan</t>
  </si>
  <si>
    <t>Thomas Tuchel</t>
  </si>
  <si>
    <t>Julian Nagelsmann</t>
  </si>
  <si>
    <t>Haiti</t>
  </si>
  <si>
    <t>Amir Ghalenoei</t>
  </si>
  <si>
    <t>Jordan</t>
  </si>
  <si>
    <t>Jamal Sellami</t>
  </si>
  <si>
    <t>Ronald Koeman</t>
  </si>
  <si>
    <t>Darren Bazeley</t>
  </si>
  <si>
    <t>Thomas Christiansen</t>
  </si>
  <si>
    <t>Julen Lopetegui</t>
  </si>
  <si>
    <t>Pape Thiaw</t>
  </si>
  <si>
    <t>Hugo Broos</t>
  </si>
  <si>
    <t>Luis de la Fuente</t>
  </si>
  <si>
    <t>Graham Potter</t>
  </si>
  <si>
    <t>Vincenzo Montella</t>
  </si>
  <si>
    <t>Néstor Lorenzo</t>
  </si>
  <si>
    <t>Sébastien Desabre</t>
  </si>
  <si>
    <t>Sebastián Beccacece</t>
  </si>
  <si>
    <t>Sébastien Migné</t>
  </si>
  <si>
    <t>Emerse Faé</t>
  </si>
  <si>
    <t>Ståle Solbakken</t>
  </si>
  <si>
    <t>Stage</t>
  </si>
  <si>
    <t>Points</t>
  </si>
  <si>
    <t>Group Stage</t>
  </si>
  <si>
    <t>native_group</t>
  </si>
  <si>
    <t>native_16</t>
  </si>
  <si>
    <t>native_quarter</t>
  </si>
  <si>
    <t>native_semi</t>
  </si>
  <si>
    <t>native_runner</t>
  </si>
  <si>
    <t>native_winner</t>
  </si>
  <si>
    <t>nn_group</t>
  </si>
  <si>
    <t>nn_16</t>
  </si>
  <si>
    <t>nn_quarter</t>
  </si>
  <si>
    <t>nn_semi</t>
  </si>
  <si>
    <t>nn_runner</t>
  </si>
  <si>
    <t>nn_winner</t>
  </si>
  <si>
    <t>Stages, Native vs. Non-Native Coach - Top Teams</t>
  </si>
  <si>
    <t>Stages, Native vs. Non-Native Coach - Scrubs</t>
  </si>
  <si>
    <t>Stages as scored, Native vs. Non-Native Coach</t>
  </si>
  <si>
    <t>non-native</t>
  </si>
  <si>
    <t>top_native_avg</t>
  </si>
  <si>
    <t>top_nn_avg</t>
  </si>
  <si>
    <t>scrubs_native_avg</t>
  </si>
  <si>
    <t>scrubs_nn_avg</t>
  </si>
  <si>
    <t>Stages as %age - Top Teams</t>
  </si>
  <si>
    <t>Native</t>
  </si>
  <si>
    <t>Non-Native</t>
  </si>
  <si>
    <t>Quarter Finals</t>
  </si>
  <si>
    <t>Semi Finals</t>
  </si>
  <si>
    <t>Runners Up</t>
  </si>
  <si>
    <t>Stages as %age - Scrubs</t>
  </si>
  <si>
    <t>Fred Rutten</t>
  </si>
  <si>
    <t>Mohamed Ouahbi</t>
  </si>
  <si>
    <t>Curacao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</si>
</sst>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" fontId="0" fillId="0" borderId="1" xfId="0" applyNumberFormat="1" applyBorder="1" applyAlignment="1">
      <alignment horizontal="center" vertical="top"/>
    </xf>
    <xf numFmtId="2" fontId="0" fillId="0" borderId="2" xfId="0" applyNumberForma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2" fontId="0" fillId="0" borderId="5" xfId="0" applyNumberFormat="1" applyBorder="1" applyAlignment="1">
      <alignment horizontal="center" vertical="top"/>
    </xf>
    <xf numFmtId="2" fontId="0" fillId="0" borderId="6" xfId="0" applyNumberForma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" fontId="0" fillId="0" borderId="9" xfId="0" applyNumberFormat="1" applyBorder="1" applyAlignment="1">
      <alignment horizontal="center" vertical="top"/>
    </xf>
    <xf numFmtId="2" fontId="0" fillId="0" borderId="10" xfId="0" applyNumberForma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" fillId="0" borderId="14" xfId="0" applyFont="1" applyBorder="1" applyAlignment="1">
      <alignment horizontal="center" vertical="top"/>
    </xf>
    <xf numFmtId="1" fontId="0" fillId="0" borderId="5" xfId="0" applyNumberFormat="1" applyBorder="1" applyAlignment="1">
      <alignment horizontal="center" vertical="top"/>
    </xf>
    <xf numFmtId="1" fontId="0" fillId="0" borderId="6" xfId="0" applyNumberFormat="1" applyBorder="1" applyAlignment="1">
      <alignment horizontal="center" vertical="top"/>
    </xf>
    <xf numFmtId="1" fontId="0" fillId="0" borderId="8" xfId="0" applyNumberFormat="1" applyBorder="1" applyAlignment="1">
      <alignment horizontal="center" vertical="top"/>
    </xf>
    <xf numFmtId="1" fontId="0" fillId="0" borderId="10" xfId="0" applyNumberFormat="1" applyBorder="1" applyAlignment="1">
      <alignment horizontal="center" vertical="top"/>
    </xf>
    <xf numFmtId="1" fontId="0" fillId="0" borderId="16" xfId="0" applyNumberFormat="1" applyBorder="1" applyAlignment="1">
      <alignment horizontal="center" vertical="top"/>
    </xf>
    <xf numFmtId="1" fontId="0" fillId="0" borderId="17" xfId="0" applyNumberFormat="1" applyBorder="1" applyAlignment="1">
      <alignment horizontal="center" vertical="top"/>
    </xf>
    <xf numFmtId="2" fontId="0" fillId="0" borderId="15" xfId="0" applyNumberFormat="1" applyBorder="1" applyAlignment="1">
      <alignment horizontal="center" vertical="top"/>
    </xf>
    <xf numFmtId="1" fontId="0" fillId="0" borderId="18" xfId="0" applyNumberFormat="1" applyBorder="1" applyAlignment="1">
      <alignment horizontal="center" vertical="top"/>
    </xf>
    <xf numFmtId="2" fontId="0" fillId="0" borderId="8" xfId="0" applyNumberFormat="1" applyBorder="1" applyAlignment="1">
      <alignment horizontal="center" vertical="top"/>
    </xf>
    <xf numFmtId="2" fontId="0" fillId="0" borderId="16" xfId="0" applyNumberFormat="1" applyBorder="1" applyAlignment="1">
      <alignment horizontal="center" vertical="top"/>
    </xf>
    <xf numFmtId="2" fontId="0" fillId="0" borderId="17" xfId="0" applyNumberFormat="1" applyBorder="1" applyAlignment="1">
      <alignment horizontal="center" vertical="top"/>
    </xf>
    <xf numFmtId="2" fontId="0" fillId="0" borderId="19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3" fillId="0" borderId="23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2" fontId="0" fillId="0" borderId="1" xfId="0" applyNumberFormat="1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2" fontId="0" fillId="0" borderId="9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%age of Top Teams Eliminated</a:t>
            </a:r>
            <a:r>
              <a:rPr lang="en-US" baseline="0"/>
              <a:t>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historical_summary!$A$44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historical_summary!$B$43:$G$43</c:f>
              <c:strCache>
                <c:ptCount val="6"/>
                <c:pt idx="0">
                  <c:v>Group Stage</c:v>
                </c:pt>
                <c:pt idx="1">
                  <c:v>Round of 16</c:v>
                </c:pt>
                <c:pt idx="2">
                  <c:v>Quarter Finals</c:v>
                </c:pt>
                <c:pt idx="3">
                  <c:v>Semi Finals</c:v>
                </c:pt>
                <c:pt idx="4">
                  <c:v>Runners Up</c:v>
                </c:pt>
                <c:pt idx="5">
                  <c:v>Winners</c:v>
                </c:pt>
              </c:strCache>
            </c:strRef>
          </c:cat>
          <c:val>
            <c:numRef>
              <c:f>historical_summary!$B$44:$G$44</c:f>
              <c:numCache>
                <c:formatCode>0.00</c:formatCode>
                <c:ptCount val="6"/>
                <c:pt idx="0">
                  <c:v>26.666666666666668</c:v>
                </c:pt>
                <c:pt idx="1">
                  <c:v>30</c:v>
                </c:pt>
                <c:pt idx="2">
                  <c:v>18.333333333333332</c:v>
                </c:pt>
                <c:pt idx="3">
                  <c:v>11.666666666666666</c:v>
                </c:pt>
                <c:pt idx="4">
                  <c:v>6.666666666666667</c:v>
                </c:pt>
                <c:pt idx="5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6-8F4D-AAAF-BE964955F82B}"/>
            </c:ext>
          </c:extLst>
        </c:ser>
        <c:ser>
          <c:idx val="1"/>
          <c:order val="1"/>
          <c:tx>
            <c:strRef>
              <c:f>historical_summary!$A$45</c:f>
              <c:strCache>
                <c:ptCount val="1"/>
                <c:pt idx="0">
                  <c:v>Non-Native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historical_summary!$B$43:$G$43</c:f>
              <c:strCache>
                <c:ptCount val="6"/>
                <c:pt idx="0">
                  <c:v>Group Stage</c:v>
                </c:pt>
                <c:pt idx="1">
                  <c:v>Round of 16</c:v>
                </c:pt>
                <c:pt idx="2">
                  <c:v>Quarter Finals</c:v>
                </c:pt>
                <c:pt idx="3">
                  <c:v>Semi Finals</c:v>
                </c:pt>
                <c:pt idx="4">
                  <c:v>Runners Up</c:v>
                </c:pt>
                <c:pt idx="5">
                  <c:v>Winners</c:v>
                </c:pt>
              </c:strCache>
            </c:strRef>
          </c:cat>
          <c:val>
            <c:numRef>
              <c:f>historical_summary!$B$45:$G$45</c:f>
              <c:numCache>
                <c:formatCode>0.00</c:formatCode>
                <c:ptCount val="6"/>
                <c:pt idx="0">
                  <c:v>35</c:v>
                </c:pt>
                <c:pt idx="1">
                  <c:v>50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6-8F4D-AAAF-BE964955F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76016"/>
        <c:axId val="417105376"/>
      </c:barChart>
      <c:catAx>
        <c:axId val="41717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05376"/>
        <c:crosses val="autoZero"/>
        <c:auto val="1"/>
        <c:lblAlgn val="ctr"/>
        <c:lblOffset val="100"/>
        <c:noMultiLvlLbl val="0"/>
      </c:catAx>
      <c:valAx>
        <c:axId val="4171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7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%age of</a:t>
            </a:r>
            <a:r>
              <a:rPr lang="en-US" baseline="0"/>
              <a:t> Scrubs Eliminated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historical_summary!$A$50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historical_summary!$B$49:$G$49</c:f>
              <c:strCache>
                <c:ptCount val="6"/>
                <c:pt idx="0">
                  <c:v>Group Stage</c:v>
                </c:pt>
                <c:pt idx="1">
                  <c:v>Round of 16</c:v>
                </c:pt>
                <c:pt idx="2">
                  <c:v>Quarter Finals</c:v>
                </c:pt>
                <c:pt idx="3">
                  <c:v>Semi Finals</c:v>
                </c:pt>
                <c:pt idx="4">
                  <c:v>Runners Up</c:v>
                </c:pt>
                <c:pt idx="5">
                  <c:v>Winners</c:v>
                </c:pt>
              </c:strCache>
            </c:strRef>
          </c:cat>
          <c:val>
            <c:numRef>
              <c:f>historical_summary!$B$50:$G$50</c:f>
              <c:numCache>
                <c:formatCode>0.00</c:formatCode>
                <c:ptCount val="6"/>
                <c:pt idx="0">
                  <c:v>85</c:v>
                </c:pt>
                <c:pt idx="1">
                  <c:v>10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A-104C-B79C-616F9C057C96}"/>
            </c:ext>
          </c:extLst>
        </c:ser>
        <c:ser>
          <c:idx val="1"/>
          <c:order val="1"/>
          <c:tx>
            <c:strRef>
              <c:f>historical_summary!$A$51</c:f>
              <c:strCache>
                <c:ptCount val="1"/>
                <c:pt idx="0">
                  <c:v>Non-Native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historical_summary!$B$49:$G$49</c:f>
              <c:strCache>
                <c:ptCount val="6"/>
                <c:pt idx="0">
                  <c:v>Group Stage</c:v>
                </c:pt>
                <c:pt idx="1">
                  <c:v>Round of 16</c:v>
                </c:pt>
                <c:pt idx="2">
                  <c:v>Quarter Finals</c:v>
                </c:pt>
                <c:pt idx="3">
                  <c:v>Semi Finals</c:v>
                </c:pt>
                <c:pt idx="4">
                  <c:v>Runners Up</c:v>
                </c:pt>
                <c:pt idx="5">
                  <c:v>Winners</c:v>
                </c:pt>
              </c:strCache>
            </c:strRef>
          </c:cat>
          <c:val>
            <c:numRef>
              <c:f>historical_summary!$B$51:$G$51</c:f>
              <c:numCache>
                <c:formatCode>0.00</c:formatCode>
                <c:ptCount val="6"/>
                <c:pt idx="0">
                  <c:v>85.714285714285708</c:v>
                </c:pt>
                <c:pt idx="1">
                  <c:v>7.1428571428571423</c:v>
                </c:pt>
                <c:pt idx="2">
                  <c:v>10.714285714285714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A-104C-B79C-616F9C057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22864"/>
        <c:axId val="416901824"/>
      </c:barChart>
      <c:catAx>
        <c:axId val="4171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01824"/>
        <c:crosses val="autoZero"/>
        <c:auto val="1"/>
        <c:lblAlgn val="ctr"/>
        <c:lblOffset val="100"/>
        <c:noMultiLvlLbl val="0"/>
      </c:catAx>
      <c:valAx>
        <c:axId val="4169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32</xdr:row>
      <xdr:rowOff>82550</xdr:rowOff>
    </xdr:from>
    <xdr:to>
      <xdr:col>13</xdr:col>
      <xdr:colOff>114300</xdr:colOff>
      <xdr:row>52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21AD2C-DA79-32C2-BB0F-383FAC43B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565150</xdr:colOff>
      <xdr:row>53</xdr:row>
      <xdr:rowOff>158750</xdr:rowOff>
    </xdr:from>
    <xdr:to>
      <xdr:col>13</xdr:col>
      <xdr:colOff>139700</xdr:colOff>
      <xdr:row>72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0A7D97-1BD5-D52D-868A-881974259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114F-B972-4045-99D0-F09F7F8275FE}">
  <dimension ref="A1:M51"/>
  <sheetViews>
    <sheetView topLeftCell="A29" workbookViewId="0">
      <selection activeCell="D67" sqref="D67"/>
    </sheetView>
  </sheetViews>
  <sheetFormatPr baseColWidth="10" defaultRowHeight="16" x14ac:dyDescent="0.2"/>
  <cols>
    <col min="1" max="1" width="10.83203125" style="2"/>
    <col min="2" max="2" width="14.83203125" style="2" customWidth="1"/>
    <col min="3" max="3" width="13.33203125" style="2" customWidth="1"/>
    <col min="4" max="4" width="20.1640625" style="2" customWidth="1"/>
    <col min="5" max="5" width="14.33203125" style="2" customWidth="1"/>
    <col min="6" max="6" width="19.33203125" style="2" customWidth="1"/>
    <col min="7" max="7" width="18.33203125" style="2" customWidth="1"/>
    <col min="8" max="8" width="15.6640625" style="2" customWidth="1"/>
    <col min="9" max="9" width="14" style="2" customWidth="1"/>
    <col min="10" max="10" width="21.83203125" style="2" customWidth="1"/>
    <col min="11" max="11" width="17.6640625" style="2" customWidth="1"/>
    <col min="12" max="12" width="21.83203125" style="2" customWidth="1"/>
    <col min="13" max="13" width="19.6640625" style="2" customWidth="1"/>
    <col min="14" max="14" width="16.5" style="2" customWidth="1"/>
    <col min="15" max="15" width="10.83203125" style="2"/>
    <col min="16" max="16" width="15.5" style="2" customWidth="1"/>
    <col min="17" max="16384" width="10.83203125" style="2"/>
  </cols>
  <sheetData>
    <row r="1" spans="1:7" ht="17" thickBot="1" x14ac:dyDescent="0.25"/>
    <row r="2" spans="1:7" x14ac:dyDescent="0.2">
      <c r="A2" s="13" t="s">
        <v>69</v>
      </c>
      <c r="B2" s="6" t="s">
        <v>213</v>
      </c>
      <c r="C2" s="7" t="s">
        <v>214</v>
      </c>
      <c r="D2" s="6" t="s">
        <v>222</v>
      </c>
      <c r="E2" s="10" t="s">
        <v>223</v>
      </c>
      <c r="F2" s="10" t="s">
        <v>224</v>
      </c>
      <c r="G2" s="7" t="s">
        <v>225</v>
      </c>
    </row>
    <row r="3" spans="1:7" x14ac:dyDescent="0.2">
      <c r="A3" s="14">
        <v>2010</v>
      </c>
      <c r="B3" s="17">
        <f>COUNTIFS('2010-2022_team_coaches_records'!$A:$A,$A3,'2010-2022_team_coaches_records'!$E:$E,"Yes")</f>
        <v>20</v>
      </c>
      <c r="C3" s="18">
        <f>COUNTIFS('2010-2022_team_coaches_records'!$A:$A,$A3,'2010-2022_team_coaches_records'!$E:$E,"No")</f>
        <v>12</v>
      </c>
      <c r="D3" s="17">
        <f>COUNTIFS('2010-2022_team_coaches_records'!$A:$A,$A3,'2010-2022_team_coaches_records'!$E:$E,"Yes",'2010-2022_team_coaches_records'!$M:$M,"Yes")</f>
        <v>14</v>
      </c>
      <c r="E3" s="4">
        <f>COUNTIFS('2010-2022_team_coaches_records'!$A:$A,$A3,'2010-2022_team_coaches_records'!$E:$E,"Yes",'2010-2022_team_coaches_records'!$M:$M,"No")</f>
        <v>6</v>
      </c>
      <c r="F3" s="4">
        <f t="shared" ref="F3:G6" si="0">B3-D3</f>
        <v>6</v>
      </c>
      <c r="G3" s="18">
        <f t="shared" si="0"/>
        <v>6</v>
      </c>
    </row>
    <row r="4" spans="1:7" x14ac:dyDescent="0.2">
      <c r="A4" s="14">
        <v>2014</v>
      </c>
      <c r="B4" s="17">
        <f>COUNTIFS('2010-2022_team_coaches_records'!$A:$A,$A4,'2010-2022_team_coaches_records'!$E:$E,"Yes")</f>
        <v>18</v>
      </c>
      <c r="C4" s="18">
        <f>COUNTIFS('2010-2022_team_coaches_records'!$A:$A,$A4,'2010-2022_team_coaches_records'!$E:$E,"No")</f>
        <v>14</v>
      </c>
      <c r="D4" s="17">
        <f>COUNTIFS('2010-2022_team_coaches_records'!$A:$A,$A4,'2010-2022_team_coaches_records'!$E:$E,"Yes",'2010-2022_team_coaches_records'!$M:$M,"Yes")</f>
        <v>15</v>
      </c>
      <c r="E4" s="4">
        <f>COUNTIFS('2010-2022_team_coaches_records'!$A:$A,$A4,'2010-2022_team_coaches_records'!$E:$E,"Yes",'2010-2022_team_coaches_records'!$M:$M,"No")</f>
        <v>3</v>
      </c>
      <c r="F4" s="4">
        <f t="shared" si="0"/>
        <v>3</v>
      </c>
      <c r="G4" s="18">
        <f t="shared" si="0"/>
        <v>11</v>
      </c>
    </row>
    <row r="5" spans="1:7" x14ac:dyDescent="0.2">
      <c r="A5" s="14">
        <v>2018</v>
      </c>
      <c r="B5" s="17">
        <f>COUNTIFS('2010-2022_team_coaches_records'!$A:$A,$A5,'2010-2022_team_coaches_records'!$E:$E,"Yes")</f>
        <v>19</v>
      </c>
      <c r="C5" s="18">
        <f>COUNTIFS('2010-2022_team_coaches_records'!$A:$A,$A5,'2010-2022_team_coaches_records'!$E:$E,"No")</f>
        <v>13</v>
      </c>
      <c r="D5" s="17">
        <f>COUNTIFS('2010-2022_team_coaches_records'!$A:$A,$A5,'2010-2022_team_coaches_records'!$E:$E,"Yes",'2010-2022_team_coaches_records'!$M:$M,"Yes")</f>
        <v>14</v>
      </c>
      <c r="E5" s="4">
        <f>COUNTIFS('2010-2022_team_coaches_records'!$A:$A,$A5,'2010-2022_team_coaches_records'!$E:$E,"Yes",'2010-2022_team_coaches_records'!$M:$M,"No")</f>
        <v>5</v>
      </c>
      <c r="F5" s="4">
        <f t="shared" si="0"/>
        <v>5</v>
      </c>
      <c r="G5" s="18">
        <f t="shared" si="0"/>
        <v>8</v>
      </c>
    </row>
    <row r="6" spans="1:7" ht="17" thickBot="1" x14ac:dyDescent="0.25">
      <c r="A6" s="15">
        <v>2022</v>
      </c>
      <c r="B6" s="19">
        <f>COUNTIFS('2010-2022_team_coaches_records'!$A:$A,$A6,'2010-2022_team_coaches_records'!$E:$E,"Yes")</f>
        <v>23</v>
      </c>
      <c r="C6" s="20">
        <f>COUNTIFS('2010-2022_team_coaches_records'!$A:$A,$A6,'2010-2022_team_coaches_records'!$E:$E,"No")</f>
        <v>9</v>
      </c>
      <c r="D6" s="19">
        <f>COUNTIFS('2010-2022_team_coaches_records'!$A:$A,$A6,'2010-2022_team_coaches_records'!$E:$E,"Yes",'2010-2022_team_coaches_records'!$M:$M,"Yes")</f>
        <v>17</v>
      </c>
      <c r="E6" s="11">
        <f>COUNTIFS('2010-2022_team_coaches_records'!$A:$A,$A6,'2010-2022_team_coaches_records'!$E:$E,"Yes",'2010-2022_team_coaches_records'!$M:$M,"No")</f>
        <v>6</v>
      </c>
      <c r="F6" s="11">
        <f t="shared" si="0"/>
        <v>6</v>
      </c>
      <c r="G6" s="20">
        <f t="shared" si="0"/>
        <v>3</v>
      </c>
    </row>
    <row r="7" spans="1:7" ht="17" thickBot="1" x14ac:dyDescent="0.25">
      <c r="B7" s="21">
        <f>AVERAGE(B3:B6)</f>
        <v>20</v>
      </c>
      <c r="C7" s="22">
        <f>AVERAGE(C3:C6)</f>
        <v>12</v>
      </c>
      <c r="D7" s="21">
        <f t="shared" ref="D7" si="1">AVERAGE(D3:D6)</f>
        <v>15</v>
      </c>
      <c r="E7" s="24">
        <f t="shared" ref="E7" si="2">AVERAGE(E3:E6)</f>
        <v>5</v>
      </c>
      <c r="F7" s="24">
        <f t="shared" ref="F7" si="3">AVERAGE(F3:F6)</f>
        <v>5</v>
      </c>
      <c r="G7" s="22">
        <f t="shared" ref="G7" si="4">AVERAGE(G3:G6)</f>
        <v>7</v>
      </c>
    </row>
    <row r="9" spans="1:7" ht="17" thickBot="1" x14ac:dyDescent="0.25">
      <c r="A9" s="2" t="s">
        <v>221</v>
      </c>
    </row>
    <row r="10" spans="1:7" x14ac:dyDescent="0.2">
      <c r="A10" s="13" t="s">
        <v>69</v>
      </c>
      <c r="B10" s="6" t="s">
        <v>215</v>
      </c>
      <c r="C10" s="7" t="s">
        <v>216</v>
      </c>
      <c r="D10" s="6" t="s">
        <v>217</v>
      </c>
      <c r="E10" s="7" t="s">
        <v>218</v>
      </c>
      <c r="F10" s="16" t="s">
        <v>219</v>
      </c>
      <c r="G10" s="7" t="s">
        <v>220</v>
      </c>
    </row>
    <row r="11" spans="1:7" x14ac:dyDescent="0.2">
      <c r="A11" s="14">
        <v>2010</v>
      </c>
      <c r="B11" s="8">
        <f t="shared" ref="B11:C14" si="5">((D11*D3)+(F11*F3))/(D3+F3)</f>
        <v>4.45</v>
      </c>
      <c r="C11" s="9">
        <f t="shared" si="5"/>
        <v>3.5625</v>
      </c>
      <c r="D11" s="8">
        <f>SUMIFS('2010-2022_team_coaches_records'!$L:$L,'2010-2022_team_coaches_records'!$A:$A,$A3,'2010-2022_team_coaches_records'!$E:$E,"Yes",'2010-2022_team_coaches_records'!$M:$M,"Yes")/COUNTIFS('2010-2022_team_coaches_records'!$A:$A,$A3,'2010-2022_team_coaches_records'!$E:$E,"Yes",'2010-2022_team_coaches_records'!$M:$M,"Yes")</f>
        <v>5.2857142857142856</v>
      </c>
      <c r="E11" s="9">
        <f>SUMIFS('2010-2022_team_coaches_records'!$L:$L,'2010-2022_team_coaches_records'!$A:$A,$A3,'2010-2022_team_coaches_records'!$E:$E,"No",'2010-2022_team_coaches_records'!$M:$M,"Yes")/COUNTIFS('2010-2022_team_coaches_records'!$A:$A,$A3,'2010-2022_team_coaches_records'!$E:$E,"No",'2010-2022_team_coaches_records'!$M:$M,"Yes")</f>
        <v>4</v>
      </c>
      <c r="F11" s="5">
        <f>SUMIFS('2010-2022_team_coaches_records'!$L:$L,'2010-2022_team_coaches_records'!$A:$A,$A3,'2010-2022_team_coaches_records'!$E:$E,"Yes",'2010-2022_team_coaches_records'!$M:$M,"No")/COUNTIFS('2010-2022_team_coaches_records'!$A:$A,$A3,'2010-2022_team_coaches_records'!$E:$E,"Yes",'2010-2022_team_coaches_records'!$M:$M,"No")</f>
        <v>2.5</v>
      </c>
      <c r="G11" s="9">
        <f>SUMIFS('2010-2022_team_coaches_records'!$L:$L,'2010-2022_team_coaches_records'!$A:$A,$A3,'2010-2022_team_coaches_records'!$E:$E,"No",'2010-2022_team_coaches_records'!$M:$M,"No")/COUNTIFS('2010-2022_team_coaches_records'!$A:$A,$A3,'2010-2022_team_coaches_records'!$E:$E,"No",'2010-2022_team_coaches_records'!$M:$M,"No")</f>
        <v>3.125</v>
      </c>
    </row>
    <row r="12" spans="1:7" x14ac:dyDescent="0.2">
      <c r="A12" s="14">
        <v>2014</v>
      </c>
      <c r="B12" s="8">
        <f t="shared" si="5"/>
        <v>4.666666666666667</v>
      </c>
      <c r="C12" s="9">
        <f t="shared" si="5"/>
        <v>3.2968253968253967</v>
      </c>
      <c r="D12" s="8">
        <f>SUMIFS('2010-2022_team_coaches_records'!$L:$L,'2010-2022_team_coaches_records'!$A:$A,$A4,'2010-2022_team_coaches_records'!$E:$E,"Yes",'2010-2022_team_coaches_records'!$M:$M,"Yes")/COUNTIFS('2010-2022_team_coaches_records'!$A:$A,$A4,'2010-2022_team_coaches_records'!$E:$E,"Yes",'2010-2022_team_coaches_records'!$M:$M,"Yes")</f>
        <v>5.333333333333333</v>
      </c>
      <c r="E12" s="9">
        <f>SUMIFS('2010-2022_team_coaches_records'!$L:$L,'2010-2022_team_coaches_records'!$A:$A,$A4,'2010-2022_team_coaches_records'!$E:$E,"No",'2010-2022_team_coaches_records'!$M:$M,"Yes")/COUNTIFS('2010-2022_team_coaches_records'!$A:$A,$A4,'2010-2022_team_coaches_records'!$E:$E,"No",'2010-2022_team_coaches_records'!$M:$M,"Yes")</f>
        <v>5.2</v>
      </c>
      <c r="F12" s="5">
        <f>SUMIFS('2010-2022_team_coaches_records'!$L:$L,'2010-2022_team_coaches_records'!$A:$A,$A4,'2010-2022_team_coaches_records'!$E:$E,"Yes",'2010-2022_team_coaches_records'!$M:$M,"No")/COUNTIFS('2010-2022_team_coaches_records'!$A:$A,$A4,'2010-2022_team_coaches_records'!$E:$E,"Yes",'2010-2022_team_coaches_records'!$M:$M,"No")</f>
        <v>1.3333333333333333</v>
      </c>
      <c r="G12" s="9">
        <f>SUMIFS('2010-2022_team_coaches_records'!$L:$L,'2010-2022_team_coaches_records'!$A:$A,$A4,'2010-2022_team_coaches_records'!$E:$E,"No",'2010-2022_team_coaches_records'!$M:$M,"No")/COUNTIFS('2010-2022_team_coaches_records'!$A:$A,$A4,'2010-2022_team_coaches_records'!$E:$E,"No",'2010-2022_team_coaches_records'!$M:$M,"No")</f>
        <v>2.7777777777777777</v>
      </c>
    </row>
    <row r="13" spans="1:7" x14ac:dyDescent="0.2">
      <c r="A13" s="14">
        <v>2018</v>
      </c>
      <c r="B13" s="8">
        <f t="shared" si="5"/>
        <v>4.6842105263157894</v>
      </c>
      <c r="C13" s="9">
        <f t="shared" si="5"/>
        <v>3.0512820512820511</v>
      </c>
      <c r="D13" s="8">
        <f>SUMIFS('2010-2022_team_coaches_records'!$L:$L,'2010-2022_team_coaches_records'!$A:$A,$A5,'2010-2022_team_coaches_records'!$E:$E,"Yes",'2010-2022_team_coaches_records'!$M:$M,"Yes")/COUNTIFS('2010-2022_team_coaches_records'!$A:$A,$A5,'2010-2022_team_coaches_records'!$E:$E,"Yes",'2010-2022_team_coaches_records'!$M:$M,"Yes")</f>
        <v>5.3571428571428568</v>
      </c>
      <c r="E13" s="9">
        <f>SUMIFS('2010-2022_team_coaches_records'!$L:$L,'2010-2022_team_coaches_records'!$A:$A,$A5,'2010-2022_team_coaches_records'!$E:$E,"No",'2010-2022_team_coaches_records'!$M:$M,"Yes")/COUNTIFS('2010-2022_team_coaches_records'!$A:$A,$A5,'2010-2022_team_coaches_records'!$E:$E,"No",'2010-2022_team_coaches_records'!$M:$M,"Yes")</f>
        <v>5</v>
      </c>
      <c r="F13" s="5">
        <f>SUMIFS('2010-2022_team_coaches_records'!$L:$L,'2010-2022_team_coaches_records'!$A:$A,$A5,'2010-2022_team_coaches_records'!$E:$E,"Yes",'2010-2022_team_coaches_records'!$M:$M,"No")/COUNTIFS('2010-2022_team_coaches_records'!$A:$A,$A5,'2010-2022_team_coaches_records'!$E:$E,"Yes",'2010-2022_team_coaches_records'!$M:$M,"No")</f>
        <v>2.8</v>
      </c>
      <c r="G13" s="9">
        <f>SUMIFS('2010-2022_team_coaches_records'!$L:$L,'2010-2022_team_coaches_records'!$A:$A,$A5,'2010-2022_team_coaches_records'!$E:$E,"No",'2010-2022_team_coaches_records'!$M:$M,"No")/COUNTIFS('2010-2022_team_coaches_records'!$A:$A,$A5,'2010-2022_team_coaches_records'!$E:$E,"No",'2010-2022_team_coaches_records'!$M:$M,"No")</f>
        <v>1.8333333333333333</v>
      </c>
    </row>
    <row r="14" spans="1:7" ht="17" thickBot="1" x14ac:dyDescent="0.25">
      <c r="A14" s="15">
        <v>2022</v>
      </c>
      <c r="B14" s="25">
        <f t="shared" si="5"/>
        <v>4.7391304347826084</v>
      </c>
      <c r="C14" s="12">
        <f t="shared" si="5"/>
        <v>3.3888888888888888</v>
      </c>
      <c r="D14" s="25">
        <f>SUMIFS('2010-2022_team_coaches_records'!$L:$L,'2010-2022_team_coaches_records'!$A:$A,$A6,'2010-2022_team_coaches_records'!$E:$E,"Yes",'2010-2022_team_coaches_records'!$M:$M,"Yes")/COUNTIFS('2010-2022_team_coaches_records'!$A:$A,$A6,'2010-2022_team_coaches_records'!$E:$E,"Yes",'2010-2022_team_coaches_records'!$M:$M,"Yes")</f>
        <v>5.2941176470588234</v>
      </c>
      <c r="E14" s="12">
        <f>SUMIFS('2010-2022_team_coaches_records'!$L:$L,'2010-2022_team_coaches_records'!$A:$A,$A6,'2010-2022_team_coaches_records'!$E:$E,"No",'2010-2022_team_coaches_records'!$M:$M,"Yes")/COUNTIFS('2010-2022_team_coaches_records'!$A:$A,$A6,'2010-2022_team_coaches_records'!$E:$E,"No",'2010-2022_team_coaches_records'!$M:$M,"Yes")</f>
        <v>4</v>
      </c>
      <c r="F14" s="23">
        <f>SUMIFS('2010-2022_team_coaches_records'!$L:$L,'2010-2022_team_coaches_records'!$A:$A,$A6,'2010-2022_team_coaches_records'!$E:$E,"Yes",'2010-2022_team_coaches_records'!$M:$M,"No")/COUNTIFS('2010-2022_team_coaches_records'!$A:$A,$A6,'2010-2022_team_coaches_records'!$E:$E,"Yes",'2010-2022_team_coaches_records'!$M:$M,"No")</f>
        <v>3.1666666666666665</v>
      </c>
      <c r="G14" s="12">
        <f>SUMIFS('2010-2022_team_coaches_records'!$L:$L,'2010-2022_team_coaches_records'!$A:$A,$A6,'2010-2022_team_coaches_records'!$E:$E,"No",'2010-2022_team_coaches_records'!$M:$M,"No")/COUNTIFS('2010-2022_team_coaches_records'!$A:$A,$A6,'2010-2022_team_coaches_records'!$E:$E,"No",'2010-2022_team_coaches_records'!$M:$M,"No")</f>
        <v>2.1666666666666665</v>
      </c>
    </row>
    <row r="15" spans="1:7" ht="17" thickBot="1" x14ac:dyDescent="0.25">
      <c r="B15" s="26">
        <f t="shared" ref="B15:G15" si="6">AVERAGE(B11:B14)</f>
        <v>4.635001906941266</v>
      </c>
      <c r="C15" s="27">
        <f t="shared" si="6"/>
        <v>3.3248740842490845</v>
      </c>
      <c r="D15" s="26">
        <f t="shared" si="6"/>
        <v>5.3175770308123242</v>
      </c>
      <c r="E15" s="27">
        <f t="shared" si="6"/>
        <v>4.55</v>
      </c>
      <c r="F15" s="28">
        <f t="shared" si="6"/>
        <v>2.4499999999999997</v>
      </c>
      <c r="G15" s="27">
        <f t="shared" si="6"/>
        <v>2.4756944444444442</v>
      </c>
    </row>
    <row r="18" spans="1:13" ht="17" thickBot="1" x14ac:dyDescent="0.25">
      <c r="A18" s="2" t="s">
        <v>273</v>
      </c>
    </row>
    <row r="19" spans="1:13" x14ac:dyDescent="0.2">
      <c r="A19" s="31" t="s">
        <v>69</v>
      </c>
      <c r="B19" s="6" t="s">
        <v>261</v>
      </c>
      <c r="C19" s="10" t="s">
        <v>262</v>
      </c>
      <c r="D19" s="10" t="s">
        <v>263</v>
      </c>
      <c r="E19" s="10" t="s">
        <v>264</v>
      </c>
      <c r="F19" s="10" t="s">
        <v>265</v>
      </c>
      <c r="G19" s="7" t="s">
        <v>266</v>
      </c>
      <c r="H19" s="6" t="s">
        <v>267</v>
      </c>
      <c r="I19" s="10" t="s">
        <v>268</v>
      </c>
      <c r="J19" s="10" t="s">
        <v>269</v>
      </c>
      <c r="K19" s="10" t="s">
        <v>270</v>
      </c>
      <c r="L19" s="10" t="s">
        <v>271</v>
      </c>
      <c r="M19" s="7" t="s">
        <v>272</v>
      </c>
    </row>
    <row r="20" spans="1:13" x14ac:dyDescent="0.2">
      <c r="A20" s="32">
        <v>2010</v>
      </c>
      <c r="B20" s="34">
        <f>COUNTIFS('2010-2022_team_coaches_records'!$A:$A,$A20,'2010-2022_team_coaches_records'!$E:$E,"Yes",'2010-2022_team_coaches_records'!$H:$H,"Group stage",'2010-2022_team_coaches_records'!$M:$M,"Yes")</f>
        <v>3</v>
      </c>
      <c r="C20" s="29">
        <f>COUNTIFS('2010-2022_team_coaches_records'!$A:$A,$A20,'2010-2022_team_coaches_records'!$E:$E,"Yes",'2010-2022_team_coaches_records'!$H:$H,"Round of 16",'2010-2022_team_coaches_records'!$M:$M,"Yes")</f>
        <v>5</v>
      </c>
      <c r="D20" s="29">
        <f>COUNTIFS('2010-2022_team_coaches_records'!$A:$A,$A20,'2010-2022_team_coaches_records'!$E:$E,"Yes",'2010-2022_team_coaches_records'!$H:$H,"Quarter-finals",'2010-2022_team_coaches_records'!$M:$M,"Yes")</f>
        <v>2</v>
      </c>
      <c r="E20" s="29">
        <f>COUNTIFS('2010-2022_team_coaches_records'!$A:$A,$A20,'2010-2022_team_coaches_records'!$E:$E,"Yes",'2010-2022_team_coaches_records'!$H:$H,"Semi-finals",'2010-2022_team_coaches_records'!$M:$M,"Yes")</f>
        <v>2</v>
      </c>
      <c r="F20" s="29">
        <f>COUNTIFS('2010-2022_team_coaches_records'!$A:$A,$A20,'2010-2022_team_coaches_records'!$E:$E,"Yes",'2010-2022_team_coaches_records'!$H:$H,"Runners-up",'2010-2022_team_coaches_records'!$M:$M,"Yes")</f>
        <v>1</v>
      </c>
      <c r="G20" s="35">
        <f>COUNTIFS('2010-2022_team_coaches_records'!$A:$A,$A20,'2010-2022_team_coaches_records'!$E:$E,"Yes",'2010-2022_team_coaches_records'!$H:$H,"Winners",'2010-2022_team_coaches_records'!$M:$M,"Yes")</f>
        <v>1</v>
      </c>
      <c r="H20" s="39">
        <f>COUNTIFS('2010-2022_team_coaches_records'!$A:$A,$A20,'2010-2022_team_coaches_records'!$E:$E,"No",'2010-2022_team_coaches_records'!$H:$H,"Group stage",'2010-2022_team_coaches_records'!$M:$M,"Yes")</f>
        <v>2</v>
      </c>
      <c r="I20" s="30">
        <f>COUNTIFS('2010-2022_team_coaches_records'!$A:$A,$A20,'2010-2022_team_coaches_records'!$E:$E,"No",'2010-2022_team_coaches_records'!$H:$H,"Round of 16",'2010-2022_team_coaches_records'!$M:$M,"Yes")</f>
        <v>2</v>
      </c>
      <c r="J20" s="30">
        <f>COUNTIFS('2010-2022_team_coaches_records'!$A:$A,$A20,'2010-2022_team_coaches_records'!$E:$E,"No",'2010-2022_team_coaches_records'!$H:$H,"Quarter-finals",'2010-2022_team_coaches_records'!$M:$M,"Yes")</f>
        <v>0</v>
      </c>
      <c r="K20" s="30">
        <f>COUNTIFS('2010-2022_team_coaches_records'!$A:$A,$A20,'2010-2022_team_coaches_records'!$E:$E,"No",'2010-2022_team_coaches_records'!$H:$H,"Semi-finals",'2010-2022_team_coaches_records'!$M:$M,"Yes")</f>
        <v>0</v>
      </c>
      <c r="L20" s="30">
        <f>COUNTIFS('2010-2022_team_coaches_records'!$A:$A,$A20,'2010-2022_team_coaches_records'!$E:$E,"No",'2010-2022_team_coaches_records'!$H:$H,"Runners-up",'2010-2022_team_coaches_records'!$M:$M,"Yes")</f>
        <v>0</v>
      </c>
      <c r="M20" s="40">
        <f>COUNTIFS('2010-2022_team_coaches_records'!$A:$A,$A20,'2010-2022_team_coaches_records'!$E:$E,"No",'2010-2022_team_coaches_records'!$H:$H,"Winners",'2010-2022_team_coaches_records'!$M:$M,"Yes")</f>
        <v>0</v>
      </c>
    </row>
    <row r="21" spans="1:13" x14ac:dyDescent="0.2">
      <c r="A21" s="32">
        <v>2014</v>
      </c>
      <c r="B21" s="34">
        <f>COUNTIFS('2010-2022_team_coaches_records'!$A:$A,$A21,'2010-2022_team_coaches_records'!$E:$E,"Yes",'2010-2022_team_coaches_records'!$H:$H,"Group stage",'2010-2022_team_coaches_records'!$M:$M,"Yes")</f>
        <v>6</v>
      </c>
      <c r="C21" s="29">
        <f>COUNTIFS('2010-2022_team_coaches_records'!$A:$A,$A21,'2010-2022_team_coaches_records'!$E:$E,"Yes",'2010-2022_team_coaches_records'!$H:$H,"Round of 16",'2010-2022_team_coaches_records'!$M:$M,"Yes")</f>
        <v>3</v>
      </c>
      <c r="D21" s="29">
        <f>COUNTIFS('2010-2022_team_coaches_records'!$A:$A,$A21,'2010-2022_team_coaches_records'!$E:$E,"Yes",'2010-2022_team_coaches_records'!$H:$H,"Quarter-finals",'2010-2022_team_coaches_records'!$M:$M,"Yes")</f>
        <v>2</v>
      </c>
      <c r="E21" s="29">
        <f>COUNTIFS('2010-2022_team_coaches_records'!$A:$A,$A21,'2010-2022_team_coaches_records'!$E:$E,"Yes",'2010-2022_team_coaches_records'!$H:$H,"Semi-finals",'2010-2022_team_coaches_records'!$M:$M,"Yes")</f>
        <v>2</v>
      </c>
      <c r="F21" s="29">
        <f>COUNTIFS('2010-2022_team_coaches_records'!$A:$A,$A21,'2010-2022_team_coaches_records'!$E:$E,"Yes",'2010-2022_team_coaches_records'!$H:$H,"Runners-up",'2010-2022_team_coaches_records'!$M:$M,"Yes")</f>
        <v>1</v>
      </c>
      <c r="G21" s="35">
        <f>COUNTIFS('2010-2022_team_coaches_records'!$A:$A,$A21,'2010-2022_team_coaches_records'!$E:$E,"Yes",'2010-2022_team_coaches_records'!$H:$H,"Winners",'2010-2022_team_coaches_records'!$M:$M,"Yes")</f>
        <v>1</v>
      </c>
      <c r="H21" s="39">
        <f>COUNTIFS('2010-2022_team_coaches_records'!$A:$A,$A21,'2010-2022_team_coaches_records'!$E:$E,"No",'2010-2022_team_coaches_records'!$H:$H,"Group stage",'2010-2022_team_coaches_records'!$M:$M,"Yes")</f>
        <v>1</v>
      </c>
      <c r="I21" s="30">
        <f>COUNTIFS('2010-2022_team_coaches_records'!$A:$A,$A21,'2010-2022_team_coaches_records'!$E:$E,"No",'2010-2022_team_coaches_records'!$H:$H,"Round of 16",'2010-2022_team_coaches_records'!$M:$M,"Yes")</f>
        <v>3</v>
      </c>
      <c r="J21" s="30">
        <f>COUNTIFS('2010-2022_team_coaches_records'!$A:$A,$A21,'2010-2022_team_coaches_records'!$E:$E,"No",'2010-2022_team_coaches_records'!$H:$H,"Quarter-finals",'2010-2022_team_coaches_records'!$M:$M,"Yes")</f>
        <v>1</v>
      </c>
      <c r="K21" s="30">
        <f>COUNTIFS('2010-2022_team_coaches_records'!$A:$A,$A21,'2010-2022_team_coaches_records'!$E:$E,"No",'2010-2022_team_coaches_records'!$H:$H,"Semi-finals",'2010-2022_team_coaches_records'!$M:$M,"Yes")</f>
        <v>0</v>
      </c>
      <c r="L21" s="30">
        <f>COUNTIFS('2010-2022_team_coaches_records'!$A:$A,$A21,'2010-2022_team_coaches_records'!$E:$E,"No",'2010-2022_team_coaches_records'!$H:$H,"Runners-up",'2010-2022_team_coaches_records'!$M:$M,"Yes")</f>
        <v>0</v>
      </c>
      <c r="M21" s="40">
        <f>COUNTIFS('2010-2022_team_coaches_records'!$A:$A,$A21,'2010-2022_team_coaches_records'!$E:$E,"No",'2010-2022_team_coaches_records'!$H:$H,"Winners",'2010-2022_team_coaches_records'!$M:$M,"Yes")</f>
        <v>0</v>
      </c>
    </row>
    <row r="22" spans="1:13" x14ac:dyDescent="0.2">
      <c r="A22" s="32">
        <v>2018</v>
      </c>
      <c r="B22" s="34">
        <f>COUNTIFS('2010-2022_team_coaches_records'!$A:$A,$A22,'2010-2022_team_coaches_records'!$E:$E,"Yes",'2010-2022_team_coaches_records'!$H:$H,"Group stage",'2010-2022_team_coaches_records'!$M:$M,"Yes")</f>
        <v>4</v>
      </c>
      <c r="C22" s="29">
        <f>COUNTIFS('2010-2022_team_coaches_records'!$A:$A,$A22,'2010-2022_team_coaches_records'!$E:$E,"Yes",'2010-2022_team_coaches_records'!$H:$H,"Round of 16",'2010-2022_team_coaches_records'!$M:$M,"Yes")</f>
        <v>4</v>
      </c>
      <c r="D22" s="29">
        <f>COUNTIFS('2010-2022_team_coaches_records'!$A:$A,$A22,'2010-2022_team_coaches_records'!$E:$E,"Yes",'2010-2022_team_coaches_records'!$H:$H,"Quarter-finals",'2010-2022_team_coaches_records'!$M:$M,"Yes")</f>
        <v>3</v>
      </c>
      <c r="E22" s="29">
        <f>COUNTIFS('2010-2022_team_coaches_records'!$A:$A,$A22,'2010-2022_team_coaches_records'!$E:$E,"Yes",'2010-2022_team_coaches_records'!$H:$H,"Semi-finals",'2010-2022_team_coaches_records'!$M:$M,"Yes")</f>
        <v>1</v>
      </c>
      <c r="F22" s="29">
        <f>COUNTIFS('2010-2022_team_coaches_records'!$A:$A,$A22,'2010-2022_team_coaches_records'!$E:$E,"Yes",'2010-2022_team_coaches_records'!$H:$H,"Runners-up",'2010-2022_team_coaches_records'!$M:$M,"Yes")</f>
        <v>1</v>
      </c>
      <c r="G22" s="35">
        <f>COUNTIFS('2010-2022_team_coaches_records'!$A:$A,$A22,'2010-2022_team_coaches_records'!$E:$E,"Yes",'2010-2022_team_coaches_records'!$H:$H,"Winners",'2010-2022_team_coaches_records'!$M:$M,"Yes")</f>
        <v>1</v>
      </c>
      <c r="H22" s="39">
        <f>COUNTIFS('2010-2022_team_coaches_records'!$A:$A,$A22,'2010-2022_team_coaches_records'!$E:$E,"No",'2010-2022_team_coaches_records'!$H:$H,"Group stage",'2010-2022_team_coaches_records'!$M:$M,"Yes")</f>
        <v>2</v>
      </c>
      <c r="I22" s="30">
        <f>COUNTIFS('2010-2022_team_coaches_records'!$A:$A,$A22,'2010-2022_team_coaches_records'!$E:$E,"No",'2010-2022_team_coaches_records'!$H:$H,"Round of 16",'2010-2022_team_coaches_records'!$M:$M,"Yes")</f>
        <v>4</v>
      </c>
      <c r="J22" s="30">
        <f>COUNTIFS('2010-2022_team_coaches_records'!$A:$A,$A22,'2010-2022_team_coaches_records'!$E:$E,"No",'2010-2022_team_coaches_records'!$H:$H,"Quarter-finals",'2010-2022_team_coaches_records'!$M:$M,"Yes")</f>
        <v>0</v>
      </c>
      <c r="K22" s="30">
        <f>COUNTIFS('2010-2022_team_coaches_records'!$A:$A,$A22,'2010-2022_team_coaches_records'!$E:$E,"No",'2010-2022_team_coaches_records'!$H:$H,"Semi-finals",'2010-2022_team_coaches_records'!$M:$M,"Yes")</f>
        <v>1</v>
      </c>
      <c r="L22" s="30">
        <f>COUNTIFS('2010-2022_team_coaches_records'!$A:$A,$A22,'2010-2022_team_coaches_records'!$E:$E,"No",'2010-2022_team_coaches_records'!$H:$H,"Runners-up",'2010-2022_team_coaches_records'!$M:$M,"Yes")</f>
        <v>0</v>
      </c>
      <c r="M22" s="40">
        <f>COUNTIFS('2010-2022_team_coaches_records'!$A:$A,$A22,'2010-2022_team_coaches_records'!$E:$E,"No",'2010-2022_team_coaches_records'!$H:$H,"Winners",'2010-2022_team_coaches_records'!$M:$M,"Yes")</f>
        <v>0</v>
      </c>
    </row>
    <row r="23" spans="1:13" ht="17" thickBot="1" x14ac:dyDescent="0.25">
      <c r="A23" s="33">
        <v>2022</v>
      </c>
      <c r="B23" s="36">
        <f>COUNTIFS('2010-2022_team_coaches_records'!$A:$A,$A23,'2010-2022_team_coaches_records'!$E:$E,"Yes",'2010-2022_team_coaches_records'!$H:$H,"Group stage",'2010-2022_team_coaches_records'!$M:$M,"Yes")</f>
        <v>3</v>
      </c>
      <c r="C23" s="37">
        <f>COUNTIFS('2010-2022_team_coaches_records'!$A:$A,$A23,'2010-2022_team_coaches_records'!$E:$E,"Yes",'2010-2022_team_coaches_records'!$H:$H,"Round of 16",'2010-2022_team_coaches_records'!$M:$M,"Yes")</f>
        <v>6</v>
      </c>
      <c r="D23" s="37">
        <f>COUNTIFS('2010-2022_team_coaches_records'!$A:$A,$A23,'2010-2022_team_coaches_records'!$E:$E,"Yes",'2010-2022_team_coaches_records'!$H:$H,"Quarter-finals",'2010-2022_team_coaches_records'!$M:$M,"Yes")</f>
        <v>4</v>
      </c>
      <c r="E23" s="37">
        <f>COUNTIFS('2010-2022_team_coaches_records'!$A:$A,$A23,'2010-2022_team_coaches_records'!$E:$E,"Yes",'2010-2022_team_coaches_records'!$H:$H,"Semi-finals",'2010-2022_team_coaches_records'!$M:$M,"Yes")</f>
        <v>2</v>
      </c>
      <c r="F23" s="37">
        <f>COUNTIFS('2010-2022_team_coaches_records'!$A:$A,$A23,'2010-2022_team_coaches_records'!$E:$E,"Yes",'2010-2022_team_coaches_records'!$H:$H,"Runners-up",'2010-2022_team_coaches_records'!$M:$M,"Yes")</f>
        <v>1</v>
      </c>
      <c r="G23" s="38">
        <f>COUNTIFS('2010-2022_team_coaches_records'!$A:$A,$A23,'2010-2022_team_coaches_records'!$E:$E,"Yes",'2010-2022_team_coaches_records'!$H:$H,"Winners",'2010-2022_team_coaches_records'!$M:$M,"Yes")</f>
        <v>1</v>
      </c>
      <c r="H23" s="41">
        <f>COUNTIFS('2010-2022_team_coaches_records'!$A:$A,$A23,'2010-2022_team_coaches_records'!$E:$E,"No",'2010-2022_team_coaches_records'!$H:$H,"Group stage",'2010-2022_team_coaches_records'!$M:$M,"Yes")</f>
        <v>2</v>
      </c>
      <c r="I23" s="42">
        <f>COUNTIFS('2010-2022_team_coaches_records'!$A:$A,$A23,'2010-2022_team_coaches_records'!$E:$E,"No",'2010-2022_team_coaches_records'!$H:$H,"Round of 16",'2010-2022_team_coaches_records'!$M:$M,"Yes")</f>
        <v>1</v>
      </c>
      <c r="J23" s="42">
        <f>COUNTIFS('2010-2022_team_coaches_records'!$A:$A,$A23,'2010-2022_team_coaches_records'!$E:$E,"No",'2010-2022_team_coaches_records'!$H:$H,"Quarter-finals",'2010-2022_team_coaches_records'!$M:$M,"Yes")</f>
        <v>0</v>
      </c>
      <c r="K23" s="42">
        <f>COUNTIFS('2010-2022_team_coaches_records'!$A:$A,$A23,'2010-2022_team_coaches_records'!$E:$E,"No",'2010-2022_team_coaches_records'!$H:$H,"Semi-finals",'2010-2022_team_coaches_records'!$M:$M,"Yes")</f>
        <v>0</v>
      </c>
      <c r="L23" s="42">
        <f>COUNTIFS('2010-2022_team_coaches_records'!$A:$A,$A23,'2010-2022_team_coaches_records'!$E:$E,"No",'2010-2022_team_coaches_records'!$H:$H,"Runners-up",'2010-2022_team_coaches_records'!$M:$M,"Yes")</f>
        <v>0</v>
      </c>
      <c r="M23" s="43">
        <f>COUNTIFS('2010-2022_team_coaches_records'!$A:$A,$A23,'2010-2022_team_coaches_records'!$E:$E,"No",'2010-2022_team_coaches_records'!$H:$H,"Winners",'2010-2022_team_coaches_records'!$M:$M,"Yes")</f>
        <v>0</v>
      </c>
    </row>
    <row r="24" spans="1:13" x14ac:dyDescent="0.2">
      <c r="B24"/>
      <c r="C24"/>
      <c r="D24"/>
      <c r="E24"/>
      <c r="F24"/>
      <c r="G24"/>
    </row>
    <row r="26" spans="1:13" ht="17" thickBot="1" x14ac:dyDescent="0.25">
      <c r="A26" s="2" t="s">
        <v>274</v>
      </c>
    </row>
    <row r="27" spans="1:13" x14ac:dyDescent="0.2">
      <c r="A27" s="31" t="s">
        <v>69</v>
      </c>
      <c r="B27" s="6" t="s">
        <v>261</v>
      </c>
      <c r="C27" s="10" t="s">
        <v>262</v>
      </c>
      <c r="D27" s="10" t="s">
        <v>263</v>
      </c>
      <c r="E27" s="10" t="s">
        <v>264</v>
      </c>
      <c r="F27" s="10" t="s">
        <v>265</v>
      </c>
      <c r="G27" s="7" t="s">
        <v>266</v>
      </c>
      <c r="H27" s="6" t="s">
        <v>267</v>
      </c>
      <c r="I27" s="10" t="s">
        <v>268</v>
      </c>
      <c r="J27" s="10" t="s">
        <v>269</v>
      </c>
      <c r="K27" s="10" t="s">
        <v>270</v>
      </c>
      <c r="L27" s="10" t="s">
        <v>271</v>
      </c>
      <c r="M27" s="7" t="s">
        <v>272</v>
      </c>
    </row>
    <row r="28" spans="1:13" x14ac:dyDescent="0.2">
      <c r="A28" s="32">
        <v>2010</v>
      </c>
      <c r="B28" s="34">
        <f>COUNTIFS('2010-2022_team_coaches_records'!$A:$A,$A28,'2010-2022_team_coaches_records'!$E:$E,"Yes",'2010-2022_team_coaches_records'!$H:$H,"Group stage",'2010-2022_team_coaches_records'!$M:$M,"No")</f>
        <v>5</v>
      </c>
      <c r="C28" s="29">
        <f>COUNTIFS('2010-2022_team_coaches_records'!$A:$A,$A28,'2010-2022_team_coaches_records'!$E:$E,"Yes",'2010-2022_team_coaches_records'!$H:$H,"Round of 16",'2010-2022_team_coaches_records'!$M:$M,"No")</f>
        <v>1</v>
      </c>
      <c r="D28" s="29">
        <f>COUNTIFS('2010-2022_team_coaches_records'!$A:$A,$A28,'2010-2022_team_coaches_records'!$E:$E,"Yes",'2010-2022_team_coaches_records'!$H:$H,"Quarter-finals",'2010-2022_team_coaches_records'!$M:$M,"No")</f>
        <v>0</v>
      </c>
      <c r="E28" s="29">
        <f>COUNTIFS('2010-2022_team_coaches_records'!$A:$A,$A28,'2010-2022_team_coaches_records'!$E:$E,"Yes",'2010-2022_team_coaches_records'!$H:$H,"Semi-finals",'2010-2022_team_coaches_records'!$M:$M,"No")</f>
        <v>0</v>
      </c>
      <c r="F28" s="29">
        <f>COUNTIFS('2010-2022_team_coaches_records'!$A:$A,$A28,'2010-2022_team_coaches_records'!$E:$E,"Yes",'2010-2022_team_coaches_records'!$H:$H,"Runners-up",'2010-2022_team_coaches_records'!$M:$M,"No")</f>
        <v>0</v>
      </c>
      <c r="G28" s="35">
        <f>COUNTIFS('2010-2022_team_coaches_records'!$A:$A,$A28,'2010-2022_team_coaches_records'!$E:$E,"Yes",'2010-2022_team_coaches_records'!$H:$H,"Winners",'2010-2022_team_coaches_records'!$M:$M,"No")</f>
        <v>0</v>
      </c>
      <c r="H28" s="39">
        <f>COUNTIFS('2010-2022_team_coaches_records'!$A:$A,$A28,'2010-2022_team_coaches_records'!$E:$E,"No",'2010-2022_team_coaches_records'!$H:$H,"Group stage",'2010-2022_team_coaches_records'!$M:$M,"No")</f>
        <v>6</v>
      </c>
      <c r="I28" s="30">
        <f>COUNTIFS('2010-2022_team_coaches_records'!$A:$A,$A28,'2010-2022_team_coaches_records'!$E:$E,"No",'2010-2022_team_coaches_records'!$H:$H,"Round of 16",'2010-2022_team_coaches_records'!$M:$M,"No")</f>
        <v>0</v>
      </c>
      <c r="J28" s="30">
        <f>COUNTIFS('2010-2022_team_coaches_records'!$A:$A,$A28,'2010-2022_team_coaches_records'!$E:$E,"No",'2010-2022_team_coaches_records'!$H:$H,"Quarter-finals",'2010-2022_team_coaches_records'!$M:$M,"No")</f>
        <v>2</v>
      </c>
      <c r="K28" s="30">
        <f>COUNTIFS('2010-2022_team_coaches_records'!$A:$A,$A28,'2010-2022_team_coaches_records'!$E:$E,"No",'2010-2022_team_coaches_records'!$H:$H,"Semi-finals",'2010-2022_team_coaches_records'!$M:$M,"No")</f>
        <v>0</v>
      </c>
      <c r="L28" s="30">
        <f>COUNTIFS('2010-2022_team_coaches_records'!$A:$A,$A28,'2010-2022_team_coaches_records'!$E:$E,"No",'2010-2022_team_coaches_records'!$H:$H,"Runners-up",'2010-2022_team_coaches_records'!$M:$M,"No")</f>
        <v>0</v>
      </c>
      <c r="M28" s="40">
        <f>COUNTIFS('2010-2022_team_coaches_records'!$A:$A,$A28,'2010-2022_team_coaches_records'!$E:$E,"No",'2010-2022_team_coaches_records'!$H:$H,"Winners",'2010-2022_team_coaches_records'!$M:$M,"No")</f>
        <v>0</v>
      </c>
    </row>
    <row r="29" spans="1:13" x14ac:dyDescent="0.2">
      <c r="A29" s="32">
        <v>2014</v>
      </c>
      <c r="B29" s="34">
        <f>COUNTIFS('2010-2022_team_coaches_records'!$A:$A,$A29,'2010-2022_team_coaches_records'!$E:$E,"Yes",'2010-2022_team_coaches_records'!$H:$H,"Group stage",'2010-2022_team_coaches_records'!$M:$M,"No")</f>
        <v>3</v>
      </c>
      <c r="C29" s="29">
        <f>COUNTIFS('2010-2022_team_coaches_records'!$A:$A,$A29,'2010-2022_team_coaches_records'!$E:$E,"Yes",'2010-2022_team_coaches_records'!$H:$H,"Round of 16",'2010-2022_team_coaches_records'!$M:$M,"No")</f>
        <v>0</v>
      </c>
      <c r="D29" s="29">
        <f>COUNTIFS('2010-2022_team_coaches_records'!$A:$A,$A29,'2010-2022_team_coaches_records'!$E:$E,"Yes",'2010-2022_team_coaches_records'!$H:$H,"Quarter-finals",'2010-2022_team_coaches_records'!$M:$M,"No")</f>
        <v>0</v>
      </c>
      <c r="E29" s="29">
        <f>COUNTIFS('2010-2022_team_coaches_records'!$A:$A,$A29,'2010-2022_team_coaches_records'!$E:$E,"Yes",'2010-2022_team_coaches_records'!$H:$H,"Semi-finals",'2010-2022_team_coaches_records'!$M:$M,"No")</f>
        <v>0</v>
      </c>
      <c r="F29" s="29">
        <f>COUNTIFS('2010-2022_team_coaches_records'!$A:$A,$A29,'2010-2022_team_coaches_records'!$E:$E,"Yes",'2010-2022_team_coaches_records'!$H:$H,"Runners-up",'2010-2022_team_coaches_records'!$M:$M,"No")</f>
        <v>0</v>
      </c>
      <c r="G29" s="35">
        <f>COUNTIFS('2010-2022_team_coaches_records'!$A:$A,$A29,'2010-2022_team_coaches_records'!$E:$E,"Yes",'2010-2022_team_coaches_records'!$H:$H,"Winners",'2010-2022_team_coaches_records'!$M:$M,"No")</f>
        <v>0</v>
      </c>
      <c r="H29" s="39">
        <f>COUNTIFS('2010-2022_team_coaches_records'!$A:$A,$A29,'2010-2022_team_coaches_records'!$E:$E,"No",'2010-2022_team_coaches_records'!$H:$H,"Group stage",'2010-2022_team_coaches_records'!$M:$M,"No")</f>
        <v>6</v>
      </c>
      <c r="I29" s="30">
        <f>COUNTIFS('2010-2022_team_coaches_records'!$A:$A,$A29,'2010-2022_team_coaches_records'!$E:$E,"No",'2010-2022_team_coaches_records'!$H:$H,"Round of 16",'2010-2022_team_coaches_records'!$M:$M,"No")</f>
        <v>2</v>
      </c>
      <c r="J29" s="30">
        <f>COUNTIFS('2010-2022_team_coaches_records'!$A:$A,$A29,'2010-2022_team_coaches_records'!$E:$E,"No",'2010-2022_team_coaches_records'!$H:$H,"Quarter-finals",'2010-2022_team_coaches_records'!$M:$M,"No")</f>
        <v>1</v>
      </c>
      <c r="K29" s="30">
        <f>COUNTIFS('2010-2022_team_coaches_records'!$A:$A,$A29,'2010-2022_team_coaches_records'!$E:$E,"No",'2010-2022_team_coaches_records'!$H:$H,"Semi-finals",'2010-2022_team_coaches_records'!$M:$M,"No")</f>
        <v>0</v>
      </c>
      <c r="L29" s="30">
        <f>COUNTIFS('2010-2022_team_coaches_records'!$A:$A,$A29,'2010-2022_team_coaches_records'!$E:$E,"No",'2010-2022_team_coaches_records'!$H:$H,"Runners-up",'2010-2022_team_coaches_records'!$M:$M,"No")</f>
        <v>0</v>
      </c>
      <c r="M29" s="40">
        <f>COUNTIFS('2010-2022_team_coaches_records'!$A:$A,$A29,'2010-2022_team_coaches_records'!$E:$E,"No",'2010-2022_team_coaches_records'!$H:$H,"Winners",'2010-2022_team_coaches_records'!$M:$M,"No")</f>
        <v>0</v>
      </c>
    </row>
    <row r="30" spans="1:13" x14ac:dyDescent="0.2">
      <c r="A30" s="32">
        <v>2018</v>
      </c>
      <c r="B30" s="34">
        <f>COUNTIFS('2010-2022_team_coaches_records'!$A:$A,$A30,'2010-2022_team_coaches_records'!$E:$E,"Yes",'2010-2022_team_coaches_records'!$H:$H,"Group stage",'2010-2022_team_coaches_records'!$M:$M,"No")</f>
        <v>4</v>
      </c>
      <c r="C30" s="29">
        <f>COUNTIFS('2010-2022_team_coaches_records'!$A:$A,$A30,'2010-2022_team_coaches_records'!$E:$E,"Yes",'2010-2022_team_coaches_records'!$H:$H,"Round of 16",'2010-2022_team_coaches_records'!$M:$M,"No")</f>
        <v>0</v>
      </c>
      <c r="D30" s="29">
        <f>COUNTIFS('2010-2022_team_coaches_records'!$A:$A,$A30,'2010-2022_team_coaches_records'!$E:$E,"Yes",'2010-2022_team_coaches_records'!$H:$H,"Quarter-finals",'2010-2022_team_coaches_records'!$M:$M,"No")</f>
        <v>1</v>
      </c>
      <c r="E30" s="29">
        <f>COUNTIFS('2010-2022_team_coaches_records'!$A:$A,$A30,'2010-2022_team_coaches_records'!$E:$E,"Yes",'2010-2022_team_coaches_records'!$H:$H,"Semi-finals",'2010-2022_team_coaches_records'!$M:$M,"No")</f>
        <v>0</v>
      </c>
      <c r="F30" s="29">
        <f>COUNTIFS('2010-2022_team_coaches_records'!$A:$A,$A30,'2010-2022_team_coaches_records'!$E:$E,"Yes",'2010-2022_team_coaches_records'!$H:$H,"Runners-up",'2010-2022_team_coaches_records'!$M:$M,"No")</f>
        <v>0</v>
      </c>
      <c r="G30" s="35">
        <f>COUNTIFS('2010-2022_team_coaches_records'!$A:$A,$A30,'2010-2022_team_coaches_records'!$E:$E,"Yes",'2010-2022_team_coaches_records'!$H:$H,"Winners",'2010-2022_team_coaches_records'!$M:$M,"No")</f>
        <v>0</v>
      </c>
      <c r="H30" s="39">
        <f>COUNTIFS('2010-2022_team_coaches_records'!$A:$A,$A30,'2010-2022_team_coaches_records'!$E:$E,"No",'2010-2022_team_coaches_records'!$H:$H,"Group stage",'2010-2022_team_coaches_records'!$M:$M,"No")</f>
        <v>6</v>
      </c>
      <c r="I30" s="30">
        <f>COUNTIFS('2010-2022_team_coaches_records'!$A:$A,$A30,'2010-2022_team_coaches_records'!$E:$E,"No",'2010-2022_team_coaches_records'!$H:$H,"Round of 16",'2010-2022_team_coaches_records'!$M:$M,"No")</f>
        <v>0</v>
      </c>
      <c r="J30" s="30">
        <f>COUNTIFS('2010-2022_team_coaches_records'!$A:$A,$A30,'2010-2022_team_coaches_records'!$E:$E,"No",'2010-2022_team_coaches_records'!$H:$H,"Quarter-finals",'2010-2022_team_coaches_records'!$M:$M,"No")</f>
        <v>0</v>
      </c>
      <c r="K30" s="30">
        <f>COUNTIFS('2010-2022_team_coaches_records'!$A:$A,$A30,'2010-2022_team_coaches_records'!$E:$E,"No",'2010-2022_team_coaches_records'!$H:$H,"Semi-finals",'2010-2022_team_coaches_records'!$M:$M,"No")</f>
        <v>0</v>
      </c>
      <c r="L30" s="30">
        <f>COUNTIFS('2010-2022_team_coaches_records'!$A:$A,$A30,'2010-2022_team_coaches_records'!$E:$E,"No",'2010-2022_team_coaches_records'!$H:$H,"Runners-up",'2010-2022_team_coaches_records'!$M:$M,"No")</f>
        <v>0</v>
      </c>
      <c r="M30" s="40">
        <f>COUNTIFS('2010-2022_team_coaches_records'!$A:$A,$A30,'2010-2022_team_coaches_records'!$E:$E,"No",'2010-2022_team_coaches_records'!$H:$H,"Winners",'2010-2022_team_coaches_records'!$M:$M,"No")</f>
        <v>0</v>
      </c>
    </row>
    <row r="31" spans="1:13" ht="17" thickBot="1" x14ac:dyDescent="0.25">
      <c r="A31" s="33">
        <v>2022</v>
      </c>
      <c r="B31" s="36">
        <f>COUNTIFS('2010-2022_team_coaches_records'!$A:$A,$A31,'2010-2022_team_coaches_records'!$E:$E,"Yes",'2010-2022_team_coaches_records'!$H:$H,"Group stage",'2010-2022_team_coaches_records'!$M:$M,"No")</f>
        <v>5</v>
      </c>
      <c r="C31" s="37">
        <f>COUNTIFS('2010-2022_team_coaches_records'!$A:$A,$A31,'2010-2022_team_coaches_records'!$E:$E,"Yes",'2010-2022_team_coaches_records'!$H:$H,"Round of 16",'2010-2022_team_coaches_records'!$M:$M,"No")</f>
        <v>1</v>
      </c>
      <c r="D31" s="37">
        <f>COUNTIFS('2010-2022_team_coaches_records'!$A:$A,$A31,'2010-2022_team_coaches_records'!$E:$E,"Yes",'2010-2022_team_coaches_records'!$H:$H,"Quarter-finals",'2010-2022_team_coaches_records'!$M:$M,"No")</f>
        <v>0</v>
      </c>
      <c r="E31" s="37">
        <f>COUNTIFS('2010-2022_team_coaches_records'!$A:$A,$A31,'2010-2022_team_coaches_records'!$E:$E,"Yes",'2010-2022_team_coaches_records'!$H:$H,"Semi-finals",'2010-2022_team_coaches_records'!$M:$M,"No")</f>
        <v>0</v>
      </c>
      <c r="F31" s="37">
        <f>COUNTIFS('2010-2022_team_coaches_records'!$A:$A,$A31,'2010-2022_team_coaches_records'!$E:$E,"Yes",'2010-2022_team_coaches_records'!$H:$H,"Runners-up",'2010-2022_team_coaches_records'!$M:$M,"No")</f>
        <v>0</v>
      </c>
      <c r="G31" s="38">
        <f>COUNTIFS('2010-2022_team_coaches_records'!$A:$A,$A31,'2010-2022_team_coaches_records'!$E:$E,"Yes",'2010-2022_team_coaches_records'!$H:$H,"Winners",'2010-2022_team_coaches_records'!$M:$M,"No")</f>
        <v>0</v>
      </c>
      <c r="H31" s="41">
        <f>COUNTIFS('2010-2022_team_coaches_records'!$A:$A,$A31,'2010-2022_team_coaches_records'!$E:$E,"No",'2010-2022_team_coaches_records'!$H:$H,"Group stage",'2010-2022_team_coaches_records'!$M:$M,"No")</f>
        <v>6</v>
      </c>
      <c r="I31" s="42">
        <f>COUNTIFS('2010-2022_team_coaches_records'!$A:$A,$A31,'2010-2022_team_coaches_records'!$E:$E,"No",'2010-2022_team_coaches_records'!$H:$H,"Round of 16",'2010-2022_team_coaches_records'!$M:$M,"No")</f>
        <v>0</v>
      </c>
      <c r="J31" s="42">
        <f>COUNTIFS('2010-2022_team_coaches_records'!$A:$A,$A31,'2010-2022_team_coaches_records'!$E:$E,"No",'2010-2022_team_coaches_records'!$H:$H,"Quarter-finals",'2010-2022_team_coaches_records'!$M:$M,"No")</f>
        <v>0</v>
      </c>
      <c r="K31" s="42">
        <f>COUNTIFS('2010-2022_team_coaches_records'!$A:$A,$A31,'2010-2022_team_coaches_records'!$E:$E,"No",'2010-2022_team_coaches_records'!$H:$H,"Semi-finals",'2010-2022_team_coaches_records'!$M:$M,"No")</f>
        <v>0</v>
      </c>
      <c r="L31" s="42">
        <f>COUNTIFS('2010-2022_team_coaches_records'!$A:$A,$A31,'2010-2022_team_coaches_records'!$E:$E,"No",'2010-2022_team_coaches_records'!$H:$H,"Runners-up",'2010-2022_team_coaches_records'!$M:$M,"No")</f>
        <v>0</v>
      </c>
      <c r="M31" s="43">
        <f>COUNTIFS('2010-2022_team_coaches_records'!$A:$A,$A31,'2010-2022_team_coaches_records'!$E:$E,"No",'2010-2022_team_coaches_records'!$H:$H,"Winners",'2010-2022_team_coaches_records'!$M:$M,"No")</f>
        <v>0</v>
      </c>
    </row>
    <row r="34" spans="1:7" ht="17" thickBot="1" x14ac:dyDescent="0.25">
      <c r="A34" s="2" t="s">
        <v>275</v>
      </c>
    </row>
    <row r="35" spans="1:7" x14ac:dyDescent="0.2">
      <c r="A35" s="44" t="s">
        <v>69</v>
      </c>
      <c r="B35" s="6" t="s">
        <v>213</v>
      </c>
      <c r="C35" s="7" t="s">
        <v>276</v>
      </c>
      <c r="D35" s="6" t="s">
        <v>277</v>
      </c>
      <c r="E35" s="7" t="s">
        <v>278</v>
      </c>
      <c r="F35" s="6" t="s">
        <v>279</v>
      </c>
      <c r="G35" s="7" t="s">
        <v>280</v>
      </c>
    </row>
    <row r="36" spans="1:7" x14ac:dyDescent="0.2">
      <c r="A36" s="45">
        <v>2010</v>
      </c>
      <c r="B36" s="8">
        <f>((D36*D3)+(F36*F3))/(D3+F3)</f>
        <v>1.25</v>
      </c>
      <c r="C36" s="9">
        <f>((E36*E3)+(G36*G3))/(E3+G3)</f>
        <v>0.5</v>
      </c>
      <c r="D36" s="8">
        <f>((C20*1)+(D20*2)+(E20*3)+(F20*4)+(G20*5))/D3</f>
        <v>1.7142857142857142</v>
      </c>
      <c r="E36" s="9">
        <f>((I20*1)+(J20*2)+(K20*3)+(L20*4)+(M20*5))/E3</f>
        <v>0.33333333333333331</v>
      </c>
      <c r="F36" s="8">
        <f>((C28*1)+(D28*2)+(E28*3)+(F28*4)+(G28*5))/F3</f>
        <v>0.16666666666666666</v>
      </c>
      <c r="G36" s="9">
        <f>((I28*1)+(J28*2)+(K28*3)+(L28*4)+(M28*5))/G3</f>
        <v>0.66666666666666663</v>
      </c>
    </row>
    <row r="37" spans="1:7" x14ac:dyDescent="0.2">
      <c r="A37" s="45">
        <v>2014</v>
      </c>
      <c r="B37" s="8">
        <f t="shared" ref="B37:B39" si="7">((D37*D4)+(F37*F4))/(D4+F4)</f>
        <v>1.2222222222222223</v>
      </c>
      <c r="C37" s="9">
        <f t="shared" ref="C37:C39" si="8">((E37*E4)+(G37*G4))/(E4+G4)</f>
        <v>0.6428571428571429</v>
      </c>
      <c r="D37" s="8">
        <f>((C21*1)+(D21*2)+(E21*3)+(F21*4)+(G21*5))/D4</f>
        <v>1.4666666666666666</v>
      </c>
      <c r="E37" s="9">
        <f>((I21*1)+(J21*2)+(K21*3)+(L21*4)+(M21*5))/E4</f>
        <v>1.6666666666666667</v>
      </c>
      <c r="F37" s="8">
        <f t="shared" ref="F37:F38" si="9">((C29*1)+(D29*2)+(E29*3)+(F29*4)+(G29*5))/F4</f>
        <v>0</v>
      </c>
      <c r="G37" s="9">
        <f>((I29*1)+(J29*2)+(K29*3)+(L29*4)+(M29*5))/G4</f>
        <v>0.36363636363636365</v>
      </c>
    </row>
    <row r="38" spans="1:7" x14ac:dyDescent="0.2">
      <c r="A38" s="45">
        <v>2018</v>
      </c>
      <c r="B38" s="8">
        <f t="shared" si="7"/>
        <v>1.263157894736842</v>
      </c>
      <c r="C38" s="9">
        <f t="shared" si="8"/>
        <v>0.53846153846153844</v>
      </c>
      <c r="D38" s="8">
        <f t="shared" ref="D38:D39" si="10">((C22*1)+(D22*2)+(E22*3)+(F22*4)+(G22*5))/D5</f>
        <v>1.5714285714285714</v>
      </c>
      <c r="E38" s="9">
        <f t="shared" ref="E38" si="11">((I22*1)+(J22*2)+(K22*3)+(L22*4)+(M22*5))/E5</f>
        <v>1.4</v>
      </c>
      <c r="F38" s="8">
        <f t="shared" si="9"/>
        <v>0.4</v>
      </c>
      <c r="G38" s="9">
        <f t="shared" ref="G38:G39" si="12">((I30*1)+(J30*2)+(K30*3)+(L30*4)+(M30*5))/G5</f>
        <v>0</v>
      </c>
    </row>
    <row r="39" spans="1:7" ht="17" thickBot="1" x14ac:dyDescent="0.25">
      <c r="A39" s="46">
        <v>2022</v>
      </c>
      <c r="B39" s="25">
        <f t="shared" si="7"/>
        <v>1.3043478260869565</v>
      </c>
      <c r="C39" s="12">
        <f t="shared" si="8"/>
        <v>0.1111111111111111</v>
      </c>
      <c r="D39" s="25">
        <f t="shared" si="10"/>
        <v>1.7058823529411764</v>
      </c>
      <c r="E39" s="12">
        <f>((I23*1)+(J23*2)+(K23*3)+(L23*4)+(M23*5))/E6</f>
        <v>0.16666666666666666</v>
      </c>
      <c r="F39" s="25">
        <f>((C31*1)+(D31*2)+(E31*3)+(F31*4)+(G31*5))/F6</f>
        <v>0.16666666666666666</v>
      </c>
      <c r="G39" s="12">
        <f t="shared" si="12"/>
        <v>0</v>
      </c>
    </row>
    <row r="42" spans="1:7" ht="17" thickBot="1" x14ac:dyDescent="0.25">
      <c r="A42" s="2" t="s">
        <v>281</v>
      </c>
    </row>
    <row r="43" spans="1:7" x14ac:dyDescent="0.2">
      <c r="A43" s="48"/>
      <c r="B43" s="10" t="s">
        <v>260</v>
      </c>
      <c r="C43" s="10" t="s">
        <v>83</v>
      </c>
      <c r="D43" s="10" t="s">
        <v>284</v>
      </c>
      <c r="E43" s="10" t="s">
        <v>285</v>
      </c>
      <c r="F43" s="10" t="s">
        <v>286</v>
      </c>
      <c r="G43" s="7" t="s">
        <v>134</v>
      </c>
    </row>
    <row r="44" spans="1:7" x14ac:dyDescent="0.2">
      <c r="A44" s="49" t="s">
        <v>282</v>
      </c>
      <c r="B44" s="47">
        <f>(SUM(B20:B23)/SUM($D$3:$D$6))*100</f>
        <v>26.666666666666668</v>
      </c>
      <c r="C44" s="47">
        <f>(SUM(C20:C23)/SUM($D$3:$D$6))*100</f>
        <v>30</v>
      </c>
      <c r="D44" s="47">
        <f t="shared" ref="D44:G44" si="13">(SUM(D20:D23)/SUM($D$3:$D$6))*100</f>
        <v>18.333333333333332</v>
      </c>
      <c r="E44" s="47">
        <f t="shared" si="13"/>
        <v>11.666666666666666</v>
      </c>
      <c r="F44" s="47">
        <f t="shared" si="13"/>
        <v>6.666666666666667</v>
      </c>
      <c r="G44" s="9">
        <f t="shared" si="13"/>
        <v>6.666666666666667</v>
      </c>
    </row>
    <row r="45" spans="1:7" ht="17" thickBot="1" x14ac:dyDescent="0.25">
      <c r="A45" s="50" t="s">
        <v>283</v>
      </c>
      <c r="B45" s="51">
        <f>(SUM(H20:H23)/SUM($E$3:$E$6))*100</f>
        <v>35</v>
      </c>
      <c r="C45" s="51">
        <f t="shared" ref="C45:G45" si="14">(SUM(I20:I23)/SUM($E$3:$E$6))*100</f>
        <v>50</v>
      </c>
      <c r="D45" s="51">
        <f t="shared" si="14"/>
        <v>5</v>
      </c>
      <c r="E45" s="51">
        <f t="shared" si="14"/>
        <v>5</v>
      </c>
      <c r="F45" s="51">
        <f t="shared" si="14"/>
        <v>0</v>
      </c>
      <c r="G45" s="12">
        <f t="shared" si="14"/>
        <v>0</v>
      </c>
    </row>
    <row r="48" spans="1:7" ht="17" thickBot="1" x14ac:dyDescent="0.25">
      <c r="A48" s="2" t="s">
        <v>287</v>
      </c>
    </row>
    <row r="49" spans="1:7" x14ac:dyDescent="0.2">
      <c r="A49" s="48"/>
      <c r="B49" s="10" t="s">
        <v>260</v>
      </c>
      <c r="C49" s="10" t="s">
        <v>83</v>
      </c>
      <c r="D49" s="10" t="s">
        <v>284</v>
      </c>
      <c r="E49" s="10" t="s">
        <v>285</v>
      </c>
      <c r="F49" s="10" t="s">
        <v>286</v>
      </c>
      <c r="G49" s="7" t="s">
        <v>134</v>
      </c>
    </row>
    <row r="50" spans="1:7" x14ac:dyDescent="0.2">
      <c r="A50" s="49" t="s">
        <v>282</v>
      </c>
      <c r="B50" s="47">
        <f>(SUM(B28:B31)/SUM($F$3:$F$6))*100</f>
        <v>85</v>
      </c>
      <c r="C50" s="47">
        <f t="shared" ref="C50:G50" si="15">(SUM(C28:C31)/SUM($F$3:$F$6))*100</f>
        <v>10</v>
      </c>
      <c r="D50" s="47">
        <f t="shared" si="15"/>
        <v>5</v>
      </c>
      <c r="E50" s="47">
        <f t="shared" si="15"/>
        <v>0</v>
      </c>
      <c r="F50" s="47">
        <f t="shared" si="15"/>
        <v>0</v>
      </c>
      <c r="G50" s="9">
        <f t="shared" si="15"/>
        <v>0</v>
      </c>
    </row>
    <row r="51" spans="1:7" ht="17" thickBot="1" x14ac:dyDescent="0.25">
      <c r="A51" s="50" t="s">
        <v>283</v>
      </c>
      <c r="B51" s="51">
        <f>(SUM(H28:H31)/SUM($G$3:$G$6))*100</f>
        <v>85.714285714285708</v>
      </c>
      <c r="C51" s="51">
        <f t="shared" ref="C51:G51" si="16">(SUM(I28:I31)/SUM($G$3:$G$6))*100</f>
        <v>7.1428571428571423</v>
      </c>
      <c r="D51" s="51">
        <f t="shared" si="16"/>
        <v>10.714285714285714</v>
      </c>
      <c r="E51" s="51">
        <f t="shared" si="16"/>
        <v>0</v>
      </c>
      <c r="F51" s="51">
        <f t="shared" si="16"/>
        <v>0</v>
      </c>
      <c r="G51" s="12">
        <f t="shared" si="16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8FE0-6AD0-DA4D-9B64-AEF99A51A768}">
  <dimension ref="A1:M129"/>
  <sheetViews>
    <sheetView workbookViewId="0">
      <selection activeCell="D9" sqref="D9"/>
    </sheetView>
  </sheetViews>
  <sheetFormatPr baseColWidth="10" defaultRowHeight="16" x14ac:dyDescent="0.2"/>
  <cols>
    <col min="1" max="1" width="9.6640625" customWidth="1"/>
    <col min="2" max="2" width="20.5" bestFit="1" customWidth="1"/>
    <col min="3" max="3" width="22.6640625" customWidth="1"/>
    <col min="4" max="4" width="21" customWidth="1"/>
    <col min="5" max="5" width="17.33203125" customWidth="1"/>
    <col min="6" max="6" width="11.5" customWidth="1"/>
    <col min="7" max="7" width="11.83203125" style="1" bestFit="1" customWidth="1"/>
    <col min="8" max="8" width="17.5" customWidth="1"/>
    <col min="9" max="9" width="10.5" customWidth="1"/>
    <col min="10" max="11" width="11.6640625" customWidth="1"/>
    <col min="12" max="12" width="14.33203125" customWidth="1"/>
    <col min="13" max="14" width="10.83203125" customWidth="1"/>
  </cols>
  <sheetData>
    <row r="1" spans="1:13" x14ac:dyDescent="0.2">
      <c r="A1" t="s">
        <v>69</v>
      </c>
      <c r="B1" t="s">
        <v>0</v>
      </c>
      <c r="C1" t="s">
        <v>70</v>
      </c>
      <c r="D1" t="s">
        <v>3</v>
      </c>
      <c r="E1" t="s">
        <v>71</v>
      </c>
      <c r="F1" t="s">
        <v>72</v>
      </c>
      <c r="G1" s="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212</v>
      </c>
      <c r="M1" t="s">
        <v>211</v>
      </c>
    </row>
    <row r="2" spans="1:13" x14ac:dyDescent="0.2">
      <c r="A2" s="2">
        <v>2010</v>
      </c>
      <c r="B2" s="2" t="s">
        <v>58</v>
      </c>
      <c r="C2" s="2" t="s">
        <v>78</v>
      </c>
      <c r="D2" s="2" t="s">
        <v>12</v>
      </c>
      <c r="E2" s="2" t="s">
        <v>79</v>
      </c>
      <c r="F2" s="2" t="s">
        <v>80</v>
      </c>
      <c r="G2" s="3" t="s">
        <v>207</v>
      </c>
      <c r="H2" s="2" t="s">
        <v>81</v>
      </c>
      <c r="I2" s="2">
        <v>1</v>
      </c>
      <c r="J2" s="2">
        <v>1</v>
      </c>
      <c r="K2" s="2">
        <v>1</v>
      </c>
      <c r="L2" s="2">
        <f>(3*I2)+J2</f>
        <v>4</v>
      </c>
      <c r="M2" s="2" t="str">
        <f>IF(COUNTIF(historically_strong_teams!$A$1:$A$25, B2)&gt;0,"Yes", "No")</f>
        <v>No</v>
      </c>
    </row>
    <row r="3" spans="1:13" x14ac:dyDescent="0.2">
      <c r="A3" s="2">
        <v>2010</v>
      </c>
      <c r="B3" s="2" t="s">
        <v>37</v>
      </c>
      <c r="C3" s="2" t="s">
        <v>38</v>
      </c>
      <c r="D3" s="2" t="s">
        <v>37</v>
      </c>
      <c r="E3" s="2" t="s">
        <v>82</v>
      </c>
      <c r="F3" s="2" t="s">
        <v>80</v>
      </c>
      <c r="G3" s="3" t="s">
        <v>207</v>
      </c>
      <c r="H3" s="2" t="s">
        <v>83</v>
      </c>
      <c r="I3" s="2">
        <v>1</v>
      </c>
      <c r="J3" s="2">
        <v>1</v>
      </c>
      <c r="K3" s="2">
        <v>1</v>
      </c>
      <c r="L3" s="2">
        <f t="shared" ref="L3:L66" si="0">(3*I3)+J3</f>
        <v>4</v>
      </c>
      <c r="M3" s="2" t="str">
        <f>IF(COUNTIF(historically_strong_teams!$A$1:$A$25, B3)&gt;0,"Yes", "No")</f>
        <v>Yes</v>
      </c>
    </row>
    <row r="4" spans="1:13" x14ac:dyDescent="0.2">
      <c r="A4" s="2">
        <v>2010</v>
      </c>
      <c r="B4" s="2" t="s">
        <v>65</v>
      </c>
      <c r="C4" s="2" t="s">
        <v>84</v>
      </c>
      <c r="D4" s="2" t="s">
        <v>65</v>
      </c>
      <c r="E4" s="2" t="s">
        <v>82</v>
      </c>
      <c r="F4" s="2" t="s">
        <v>80</v>
      </c>
      <c r="G4" s="3" t="s">
        <v>208</v>
      </c>
      <c r="H4" s="2" t="s">
        <v>85</v>
      </c>
      <c r="I4" s="2">
        <v>2</v>
      </c>
      <c r="J4" s="2">
        <v>1</v>
      </c>
      <c r="K4" s="2">
        <v>0</v>
      </c>
      <c r="L4" s="2">
        <f t="shared" si="0"/>
        <v>7</v>
      </c>
      <c r="M4" s="2" t="str">
        <f>IF(COUNTIF(historically_strong_teams!$A$1:$A$25, B4)&gt;0,"Yes", "No")</f>
        <v>Yes</v>
      </c>
    </row>
    <row r="5" spans="1:13" x14ac:dyDescent="0.2">
      <c r="A5" s="2">
        <v>2010</v>
      </c>
      <c r="B5" s="2" t="s">
        <v>30</v>
      </c>
      <c r="C5" s="2" t="s">
        <v>86</v>
      </c>
      <c r="D5" s="2" t="s">
        <v>30</v>
      </c>
      <c r="E5" s="2" t="s">
        <v>82</v>
      </c>
      <c r="F5" s="2" t="s">
        <v>80</v>
      </c>
      <c r="G5" s="3" t="s">
        <v>87</v>
      </c>
      <c r="H5" s="2" t="s">
        <v>81</v>
      </c>
      <c r="I5" s="2">
        <v>0</v>
      </c>
      <c r="J5" s="2">
        <v>1</v>
      </c>
      <c r="K5" s="2">
        <v>2</v>
      </c>
      <c r="L5" s="2">
        <f t="shared" si="0"/>
        <v>1</v>
      </c>
      <c r="M5" s="2" t="str">
        <f>IF(COUNTIF(historically_strong_teams!$A$1:$A$25, B5)&gt;0,"Yes", "No")</f>
        <v>Yes</v>
      </c>
    </row>
    <row r="6" spans="1:13" x14ac:dyDescent="0.2">
      <c r="A6" s="2">
        <v>2010</v>
      </c>
      <c r="B6" s="2" t="s">
        <v>4</v>
      </c>
      <c r="C6" s="2" t="s">
        <v>88</v>
      </c>
      <c r="D6" s="2" t="s">
        <v>4</v>
      </c>
      <c r="E6" s="2" t="s">
        <v>82</v>
      </c>
      <c r="F6" s="2" t="s">
        <v>89</v>
      </c>
      <c r="G6" s="3" t="s">
        <v>90</v>
      </c>
      <c r="H6" s="2" t="s">
        <v>91</v>
      </c>
      <c r="I6" s="2">
        <v>3</v>
      </c>
      <c r="J6" s="2">
        <v>0</v>
      </c>
      <c r="K6" s="2">
        <v>0</v>
      </c>
      <c r="L6" s="2">
        <f t="shared" si="0"/>
        <v>9</v>
      </c>
      <c r="M6" s="2" t="str">
        <f>IF(COUNTIF(historically_strong_teams!$A$1:$A$25, B6)&gt;0,"Yes", "No")</f>
        <v>Yes</v>
      </c>
    </row>
    <row r="7" spans="1:13" x14ac:dyDescent="0.2">
      <c r="A7" s="2">
        <v>2010</v>
      </c>
      <c r="B7" s="2" t="s">
        <v>44</v>
      </c>
      <c r="C7" s="2" t="s">
        <v>92</v>
      </c>
      <c r="D7" s="2" t="s">
        <v>60</v>
      </c>
      <c r="E7" s="2" t="s">
        <v>79</v>
      </c>
      <c r="F7" s="2" t="s">
        <v>89</v>
      </c>
      <c r="G7" s="3" t="s">
        <v>87</v>
      </c>
      <c r="H7" s="2" t="s">
        <v>81</v>
      </c>
      <c r="I7" s="2">
        <v>0</v>
      </c>
      <c r="J7" s="2">
        <v>1</v>
      </c>
      <c r="K7" s="2">
        <v>2</v>
      </c>
      <c r="L7" s="2">
        <f t="shared" si="0"/>
        <v>1</v>
      </c>
      <c r="M7" s="2" t="str">
        <f>IF(COUNTIF(historically_strong_teams!$A$1:$A$25, B7)&gt;0,"Yes", "No")</f>
        <v>Yes</v>
      </c>
    </row>
    <row r="8" spans="1:13" x14ac:dyDescent="0.2">
      <c r="A8" s="2">
        <v>2010</v>
      </c>
      <c r="B8" s="2" t="s">
        <v>59</v>
      </c>
      <c r="C8" s="2" t="s">
        <v>93</v>
      </c>
      <c r="D8" s="2" t="s">
        <v>59</v>
      </c>
      <c r="E8" s="2" t="s">
        <v>82</v>
      </c>
      <c r="F8" s="2" t="s">
        <v>89</v>
      </c>
      <c r="G8" s="3" t="s">
        <v>207</v>
      </c>
      <c r="H8" s="2" t="s">
        <v>83</v>
      </c>
      <c r="I8" s="2">
        <v>1</v>
      </c>
      <c r="J8" s="2">
        <v>1</v>
      </c>
      <c r="K8" s="2">
        <v>1</v>
      </c>
      <c r="L8" s="2">
        <f t="shared" si="0"/>
        <v>4</v>
      </c>
      <c r="M8" s="2" t="str">
        <f>IF(COUNTIF(historically_strong_teams!$A$1:$A$25, B8)&gt;0,"Yes", "No")</f>
        <v>Yes</v>
      </c>
    </row>
    <row r="9" spans="1:13" x14ac:dyDescent="0.2">
      <c r="A9" s="2">
        <v>2010</v>
      </c>
      <c r="B9" s="2" t="s">
        <v>94</v>
      </c>
      <c r="C9" s="2" t="s">
        <v>95</v>
      </c>
      <c r="D9" s="2" t="s">
        <v>32</v>
      </c>
      <c r="E9" s="2" t="s">
        <v>79</v>
      </c>
      <c r="F9" s="2" t="s">
        <v>89</v>
      </c>
      <c r="G9" s="3" t="s">
        <v>96</v>
      </c>
      <c r="H9" s="2" t="s">
        <v>81</v>
      </c>
      <c r="I9" s="2">
        <v>1</v>
      </c>
      <c r="J9" s="2">
        <v>0</v>
      </c>
      <c r="K9" s="2">
        <v>2</v>
      </c>
      <c r="L9" s="2">
        <f t="shared" si="0"/>
        <v>3</v>
      </c>
      <c r="M9" s="2" t="str">
        <f>IF(COUNTIF(historically_strong_teams!$A$1:$A$25, B9)&gt;0,"Yes", "No")</f>
        <v>No</v>
      </c>
    </row>
    <row r="10" spans="1:13" x14ac:dyDescent="0.2">
      <c r="A10" s="2">
        <v>2010</v>
      </c>
      <c r="B10" s="2" t="s">
        <v>29</v>
      </c>
      <c r="C10" s="2" t="s">
        <v>97</v>
      </c>
      <c r="D10" s="2" t="s">
        <v>14</v>
      </c>
      <c r="E10" s="2" t="s">
        <v>79</v>
      </c>
      <c r="F10" s="2" t="s">
        <v>98</v>
      </c>
      <c r="G10" s="3" t="s">
        <v>209</v>
      </c>
      <c r="H10" s="2" t="s">
        <v>83</v>
      </c>
      <c r="I10" s="2">
        <v>1</v>
      </c>
      <c r="J10" s="2">
        <v>2</v>
      </c>
      <c r="K10" s="2">
        <v>0</v>
      </c>
      <c r="L10" s="2">
        <f t="shared" si="0"/>
        <v>5</v>
      </c>
      <c r="M10" s="2" t="str">
        <f>IF(COUNTIF(historically_strong_teams!$A$1:$A$25, B10)&gt;0,"Yes", "No")</f>
        <v>Yes</v>
      </c>
    </row>
    <row r="11" spans="1:13" x14ac:dyDescent="0.2">
      <c r="A11" s="2">
        <v>2010</v>
      </c>
      <c r="B11" s="2" t="s">
        <v>18</v>
      </c>
      <c r="C11" s="2" t="s">
        <v>99</v>
      </c>
      <c r="D11" s="2" t="s">
        <v>18</v>
      </c>
      <c r="E11" s="2" t="s">
        <v>82</v>
      </c>
      <c r="F11" s="2" t="s">
        <v>98</v>
      </c>
      <c r="G11" s="3" t="s">
        <v>209</v>
      </c>
      <c r="H11" s="2" t="s">
        <v>83</v>
      </c>
      <c r="I11" s="2">
        <v>1</v>
      </c>
      <c r="J11" s="2">
        <v>2</v>
      </c>
      <c r="K11" s="2">
        <v>0</v>
      </c>
      <c r="L11" s="2">
        <f t="shared" si="0"/>
        <v>5</v>
      </c>
      <c r="M11" s="2" t="str">
        <f>IF(COUNTIF(historically_strong_teams!$A$1:$A$25, B11)&gt;0,"Yes", "No")</f>
        <v>Yes</v>
      </c>
    </row>
    <row r="12" spans="1:13" x14ac:dyDescent="0.2">
      <c r="A12" s="2">
        <v>2010</v>
      </c>
      <c r="B12" s="2" t="s">
        <v>100</v>
      </c>
      <c r="C12" s="2" t="s">
        <v>101</v>
      </c>
      <c r="D12" s="2" t="s">
        <v>100</v>
      </c>
      <c r="E12" s="2" t="s">
        <v>82</v>
      </c>
      <c r="F12" s="2" t="s">
        <v>98</v>
      </c>
      <c r="G12" s="3" t="s">
        <v>87</v>
      </c>
      <c r="H12" s="2" t="s">
        <v>81</v>
      </c>
      <c r="I12" s="2">
        <v>0</v>
      </c>
      <c r="J12" s="2">
        <v>1</v>
      </c>
      <c r="K12" s="2">
        <v>2</v>
      </c>
      <c r="L12" s="2">
        <f t="shared" si="0"/>
        <v>1</v>
      </c>
      <c r="M12" s="2" t="str">
        <f>IF(COUNTIF(historically_strong_teams!$A$1:$A$25, B12)&gt;0,"Yes", "No")</f>
        <v>No</v>
      </c>
    </row>
    <row r="13" spans="1:13" x14ac:dyDescent="0.2">
      <c r="A13" s="2">
        <v>2010</v>
      </c>
      <c r="B13" s="2" t="s">
        <v>102</v>
      </c>
      <c r="C13" s="2" t="s">
        <v>103</v>
      </c>
      <c r="D13" s="2" t="s">
        <v>102</v>
      </c>
      <c r="E13" s="2" t="s">
        <v>82</v>
      </c>
      <c r="F13" s="2" t="s">
        <v>98</v>
      </c>
      <c r="G13" s="3" t="s">
        <v>207</v>
      </c>
      <c r="H13" s="2" t="s">
        <v>81</v>
      </c>
      <c r="I13" s="2">
        <v>1</v>
      </c>
      <c r="J13" s="2">
        <v>1</v>
      </c>
      <c r="K13" s="2">
        <v>1</v>
      </c>
      <c r="L13" s="2">
        <f t="shared" si="0"/>
        <v>4</v>
      </c>
      <c r="M13" s="2" t="str">
        <f>IF(COUNTIF(historically_strong_teams!$A$1:$A$25, B13)&gt;0,"Yes", "No")</f>
        <v>No</v>
      </c>
    </row>
    <row r="14" spans="1:13" x14ac:dyDescent="0.2">
      <c r="A14" s="2">
        <v>2010</v>
      </c>
      <c r="B14" s="2" t="s">
        <v>32</v>
      </c>
      <c r="C14" s="2" t="s">
        <v>104</v>
      </c>
      <c r="D14" s="2" t="s">
        <v>32</v>
      </c>
      <c r="E14" s="2" t="s">
        <v>82</v>
      </c>
      <c r="F14" s="2" t="s">
        <v>105</v>
      </c>
      <c r="G14" s="3" t="s">
        <v>106</v>
      </c>
      <c r="H14" s="2" t="s">
        <v>85</v>
      </c>
      <c r="I14" s="2">
        <v>2</v>
      </c>
      <c r="J14" s="2">
        <v>0</v>
      </c>
      <c r="K14" s="2">
        <v>1</v>
      </c>
      <c r="L14" s="2">
        <f t="shared" si="0"/>
        <v>6</v>
      </c>
      <c r="M14" s="2" t="str">
        <f>IF(COUNTIF(historically_strong_teams!$A$1:$A$25, B14)&gt;0,"Yes", "No")</f>
        <v>Yes</v>
      </c>
    </row>
    <row r="15" spans="1:13" x14ac:dyDescent="0.2">
      <c r="A15" s="2">
        <v>2010</v>
      </c>
      <c r="B15" s="2" t="s">
        <v>7</v>
      </c>
      <c r="C15" s="2" t="s">
        <v>107</v>
      </c>
      <c r="D15" s="2" t="s">
        <v>41</v>
      </c>
      <c r="E15" s="2" t="s">
        <v>79</v>
      </c>
      <c r="F15" s="2" t="s">
        <v>105</v>
      </c>
      <c r="G15" s="3" t="s">
        <v>207</v>
      </c>
      <c r="H15" s="2" t="s">
        <v>81</v>
      </c>
      <c r="I15" s="2">
        <v>1</v>
      </c>
      <c r="J15" s="2">
        <v>1</v>
      </c>
      <c r="K15" s="2">
        <v>1</v>
      </c>
      <c r="L15" s="2">
        <f t="shared" si="0"/>
        <v>4</v>
      </c>
      <c r="M15" s="2" t="str">
        <f>IF(COUNTIF(historically_strong_teams!$A$1:$A$25, B15)&gt;0,"Yes", "No")</f>
        <v>No</v>
      </c>
    </row>
    <row r="16" spans="1:13" x14ac:dyDescent="0.2">
      <c r="A16" s="2">
        <v>2010</v>
      </c>
      <c r="B16" s="2" t="s">
        <v>57</v>
      </c>
      <c r="C16" s="2" t="s">
        <v>108</v>
      </c>
      <c r="D16" s="2" t="s">
        <v>57</v>
      </c>
      <c r="E16" s="2" t="s">
        <v>82</v>
      </c>
      <c r="F16" s="2" t="s">
        <v>105</v>
      </c>
      <c r="G16" s="3" t="s">
        <v>96</v>
      </c>
      <c r="H16" s="2" t="s">
        <v>81</v>
      </c>
      <c r="I16" s="2">
        <v>1</v>
      </c>
      <c r="J16" s="2">
        <v>0</v>
      </c>
      <c r="K16" s="2">
        <v>2</v>
      </c>
      <c r="L16" s="2">
        <f t="shared" si="0"/>
        <v>3</v>
      </c>
      <c r="M16" s="2" t="str">
        <f>IF(COUNTIF(historically_strong_teams!$A$1:$A$25, B16)&gt;0,"Yes", "No")</f>
        <v>No</v>
      </c>
    </row>
    <row r="17" spans="1:13" x14ac:dyDescent="0.2">
      <c r="A17" s="2">
        <v>2010</v>
      </c>
      <c r="B17" s="2" t="s">
        <v>33</v>
      </c>
      <c r="C17" s="2" t="s">
        <v>109</v>
      </c>
      <c r="D17" s="2" t="s">
        <v>57</v>
      </c>
      <c r="E17" s="2" t="s">
        <v>79</v>
      </c>
      <c r="F17" s="2" t="s">
        <v>105</v>
      </c>
      <c r="G17" s="3" t="s">
        <v>207</v>
      </c>
      <c r="H17" s="2" t="s">
        <v>91</v>
      </c>
      <c r="I17" s="2">
        <v>1</v>
      </c>
      <c r="J17" s="2">
        <v>1</v>
      </c>
      <c r="K17" s="2">
        <v>1</v>
      </c>
      <c r="L17" s="2">
        <f t="shared" si="0"/>
        <v>4</v>
      </c>
      <c r="M17" s="2" t="str">
        <f>IF(COUNTIF(historically_strong_teams!$A$1:$A$25, B17)&gt;0,"Yes", "No")</f>
        <v>No</v>
      </c>
    </row>
    <row r="18" spans="1:13" x14ac:dyDescent="0.2">
      <c r="A18" s="2">
        <v>2010</v>
      </c>
      <c r="B18" s="2" t="s">
        <v>41</v>
      </c>
      <c r="C18" s="2" t="s">
        <v>110</v>
      </c>
      <c r="D18" s="2" t="s">
        <v>41</v>
      </c>
      <c r="E18" s="2" t="s">
        <v>82</v>
      </c>
      <c r="F18" s="2" t="s">
        <v>111</v>
      </c>
      <c r="G18" s="3" t="s">
        <v>90</v>
      </c>
      <c r="H18" s="2" t="s">
        <v>112</v>
      </c>
      <c r="I18" s="2">
        <v>3</v>
      </c>
      <c r="J18" s="2">
        <v>0</v>
      </c>
      <c r="K18" s="2">
        <v>0</v>
      </c>
      <c r="L18" s="2">
        <f t="shared" si="0"/>
        <v>9</v>
      </c>
      <c r="M18" s="2" t="str">
        <f>IF(COUNTIF(historically_strong_teams!$A$1:$A$25, B18)&gt;0,"Yes", "No")</f>
        <v>Yes</v>
      </c>
    </row>
    <row r="19" spans="1:13" x14ac:dyDescent="0.2">
      <c r="A19" s="2">
        <v>2010</v>
      </c>
      <c r="B19" s="2" t="s">
        <v>25</v>
      </c>
      <c r="C19" s="2" t="s">
        <v>113</v>
      </c>
      <c r="D19" s="2" t="s">
        <v>25</v>
      </c>
      <c r="E19" s="2" t="s">
        <v>82</v>
      </c>
      <c r="F19" s="2" t="s">
        <v>111</v>
      </c>
      <c r="G19" s="3" t="s">
        <v>96</v>
      </c>
      <c r="H19" s="2" t="s">
        <v>81</v>
      </c>
      <c r="I19" s="2">
        <v>1</v>
      </c>
      <c r="J19" s="2">
        <v>0</v>
      </c>
      <c r="K19" s="2">
        <v>2</v>
      </c>
      <c r="L19" s="2">
        <f t="shared" si="0"/>
        <v>3</v>
      </c>
      <c r="M19" s="2" t="str">
        <f>IF(COUNTIF(historically_strong_teams!$A$1:$A$25, B19)&gt;0,"Yes", "No")</f>
        <v>Yes</v>
      </c>
    </row>
    <row r="20" spans="1:13" x14ac:dyDescent="0.2">
      <c r="A20" s="2">
        <v>2010</v>
      </c>
      <c r="B20" s="2" t="s">
        <v>36</v>
      </c>
      <c r="C20" s="2" t="s">
        <v>114</v>
      </c>
      <c r="D20" s="2" t="s">
        <v>36</v>
      </c>
      <c r="E20" s="2" t="s">
        <v>82</v>
      </c>
      <c r="F20" s="2" t="s">
        <v>111</v>
      </c>
      <c r="G20" s="3" t="s">
        <v>106</v>
      </c>
      <c r="H20" s="2" t="s">
        <v>83</v>
      </c>
      <c r="I20" s="2">
        <v>2</v>
      </c>
      <c r="J20" s="2">
        <v>0</v>
      </c>
      <c r="K20" s="2">
        <v>1</v>
      </c>
      <c r="L20" s="2">
        <f t="shared" si="0"/>
        <v>6</v>
      </c>
      <c r="M20" s="2" t="str">
        <f>IF(COUNTIF(historically_strong_teams!$A$1:$A$25, B20)&gt;0,"Yes", "No")</f>
        <v>Yes</v>
      </c>
    </row>
    <row r="21" spans="1:13" x14ac:dyDescent="0.2">
      <c r="A21" s="2">
        <v>2010</v>
      </c>
      <c r="B21" s="2" t="s">
        <v>19</v>
      </c>
      <c r="C21" s="2" t="s">
        <v>115</v>
      </c>
      <c r="D21" s="2" t="s">
        <v>30</v>
      </c>
      <c r="E21" s="2" t="s">
        <v>79</v>
      </c>
      <c r="F21" s="2" t="s">
        <v>111</v>
      </c>
      <c r="G21" s="3" t="s">
        <v>116</v>
      </c>
      <c r="H21" s="2" t="s">
        <v>81</v>
      </c>
      <c r="I21" s="2">
        <v>0</v>
      </c>
      <c r="J21" s="2">
        <v>0</v>
      </c>
      <c r="K21" s="2">
        <v>3</v>
      </c>
      <c r="L21" s="2">
        <f t="shared" si="0"/>
        <v>0</v>
      </c>
      <c r="M21" s="2" t="str">
        <f>IF(COUNTIF(historically_strong_teams!$A$1:$A$25, B21)&gt;0,"Yes", "No")</f>
        <v>No</v>
      </c>
    </row>
    <row r="22" spans="1:13" x14ac:dyDescent="0.2">
      <c r="A22" s="2">
        <v>2010</v>
      </c>
      <c r="B22" s="2" t="s">
        <v>14</v>
      </c>
      <c r="C22" s="2" t="s">
        <v>117</v>
      </c>
      <c r="D22" s="2" t="s">
        <v>14</v>
      </c>
      <c r="E22" s="2" t="s">
        <v>82</v>
      </c>
      <c r="F22" s="2" t="s">
        <v>118</v>
      </c>
      <c r="G22" s="3" t="s">
        <v>119</v>
      </c>
      <c r="H22" s="2" t="s">
        <v>81</v>
      </c>
      <c r="I22" s="2">
        <v>0</v>
      </c>
      <c r="J22" s="2">
        <v>2</v>
      </c>
      <c r="K22" s="2">
        <v>1</v>
      </c>
      <c r="L22" s="2">
        <f t="shared" si="0"/>
        <v>2</v>
      </c>
      <c r="M22" s="2" t="str">
        <f>IF(COUNTIF(historically_strong_teams!$A$1:$A$25, B22)&gt;0,"Yes", "No")</f>
        <v>Yes</v>
      </c>
    </row>
    <row r="23" spans="1:13" x14ac:dyDescent="0.2">
      <c r="A23" s="2">
        <v>2010</v>
      </c>
      <c r="B23" s="2" t="s">
        <v>47</v>
      </c>
      <c r="C23" s="2" t="s">
        <v>120</v>
      </c>
      <c r="D23" s="2" t="s">
        <v>4</v>
      </c>
      <c r="E23" s="2" t="s">
        <v>79</v>
      </c>
      <c r="F23" s="2" t="s">
        <v>118</v>
      </c>
      <c r="G23" s="3" t="s">
        <v>209</v>
      </c>
      <c r="H23" s="2" t="s">
        <v>91</v>
      </c>
      <c r="I23" s="2">
        <v>1</v>
      </c>
      <c r="J23" s="2">
        <v>2</v>
      </c>
      <c r="K23" s="2">
        <v>0</v>
      </c>
      <c r="L23" s="2">
        <f t="shared" si="0"/>
        <v>5</v>
      </c>
      <c r="M23" s="2" t="str">
        <f>IF(COUNTIF(historically_strong_teams!$A$1:$A$25, B23)&gt;0,"Yes", "No")</f>
        <v>No</v>
      </c>
    </row>
    <row r="24" spans="1:13" x14ac:dyDescent="0.2">
      <c r="A24" s="2">
        <v>2010</v>
      </c>
      <c r="B24" s="2" t="s">
        <v>42</v>
      </c>
      <c r="C24" s="2" t="s">
        <v>121</v>
      </c>
      <c r="D24" s="2" t="s">
        <v>42</v>
      </c>
      <c r="E24" s="2" t="s">
        <v>82</v>
      </c>
      <c r="F24" s="2" t="s">
        <v>118</v>
      </c>
      <c r="G24" s="3" t="s">
        <v>122</v>
      </c>
      <c r="H24" s="2" t="s">
        <v>81</v>
      </c>
      <c r="I24" s="2">
        <v>0</v>
      </c>
      <c r="J24" s="2">
        <v>3</v>
      </c>
      <c r="K24" s="2">
        <v>0</v>
      </c>
      <c r="L24" s="2">
        <f t="shared" si="0"/>
        <v>3</v>
      </c>
      <c r="M24" s="2" t="str">
        <f>IF(COUNTIF(historically_strong_teams!$A$1:$A$25, B24)&gt;0,"Yes", "No")</f>
        <v>No</v>
      </c>
    </row>
    <row r="25" spans="1:13" x14ac:dyDescent="0.2">
      <c r="A25" s="2">
        <v>2010</v>
      </c>
      <c r="B25" s="2" t="s">
        <v>123</v>
      </c>
      <c r="C25" s="2" t="s">
        <v>124</v>
      </c>
      <c r="D25" s="2" t="s">
        <v>123</v>
      </c>
      <c r="E25" s="2" t="s">
        <v>82</v>
      </c>
      <c r="F25" s="2" t="s">
        <v>118</v>
      </c>
      <c r="G25" s="3" t="s">
        <v>207</v>
      </c>
      <c r="H25" s="2" t="s">
        <v>83</v>
      </c>
      <c r="I25" s="2">
        <v>1</v>
      </c>
      <c r="J25" s="2">
        <v>1</v>
      </c>
      <c r="K25" s="2">
        <v>1</v>
      </c>
      <c r="L25" s="2">
        <f t="shared" si="0"/>
        <v>4</v>
      </c>
      <c r="M25" s="2" t="str">
        <f>IF(COUNTIF(historically_strong_teams!$A$1:$A$25, B25)&gt;0,"Yes", "No")</f>
        <v>No</v>
      </c>
    </row>
    <row r="26" spans="1:13" x14ac:dyDescent="0.2">
      <c r="A26" s="2">
        <v>2010</v>
      </c>
      <c r="B26" s="2" t="s">
        <v>12</v>
      </c>
      <c r="C26" s="2" t="s">
        <v>125</v>
      </c>
      <c r="D26" s="2" t="s">
        <v>12</v>
      </c>
      <c r="E26" s="2" t="s">
        <v>82</v>
      </c>
      <c r="F26" s="2" t="s">
        <v>126</v>
      </c>
      <c r="G26" s="3" t="s">
        <v>208</v>
      </c>
      <c r="H26" s="2" t="s">
        <v>91</v>
      </c>
      <c r="I26" s="2">
        <v>2</v>
      </c>
      <c r="J26" s="2">
        <v>1</v>
      </c>
      <c r="K26" s="2">
        <v>0</v>
      </c>
      <c r="L26" s="2">
        <f t="shared" si="0"/>
        <v>7</v>
      </c>
      <c r="M26" s="2" t="str">
        <f>IF(COUNTIF(historically_strong_teams!$A$1:$A$25, B26)&gt;0,"Yes", "No")</f>
        <v>Yes</v>
      </c>
    </row>
    <row r="27" spans="1:13" x14ac:dyDescent="0.2">
      <c r="A27" s="2">
        <v>2010</v>
      </c>
      <c r="B27" s="2" t="s">
        <v>127</v>
      </c>
      <c r="C27" s="2" t="s">
        <v>128</v>
      </c>
      <c r="D27" s="2" t="s">
        <v>127</v>
      </c>
      <c r="E27" s="2" t="s">
        <v>82</v>
      </c>
      <c r="F27" s="2" t="s">
        <v>126</v>
      </c>
      <c r="G27" s="3" t="s">
        <v>116</v>
      </c>
      <c r="H27" s="2" t="s">
        <v>81</v>
      </c>
      <c r="I27" s="2">
        <v>0</v>
      </c>
      <c r="J27" s="2">
        <v>0</v>
      </c>
      <c r="K27" s="2">
        <v>3</v>
      </c>
      <c r="L27" s="2">
        <f t="shared" si="0"/>
        <v>0</v>
      </c>
      <c r="M27" s="2" t="str">
        <f>IF(COUNTIF(historically_strong_teams!$A$1:$A$25, B27)&gt;0,"Yes", "No")</f>
        <v>No</v>
      </c>
    </row>
    <row r="28" spans="1:13" x14ac:dyDescent="0.2">
      <c r="A28" s="2">
        <v>2010</v>
      </c>
      <c r="B28" s="2" t="s">
        <v>129</v>
      </c>
      <c r="C28" s="2" t="s">
        <v>130</v>
      </c>
      <c r="D28" s="2" t="s">
        <v>60</v>
      </c>
      <c r="E28" s="2" t="s">
        <v>79</v>
      </c>
      <c r="F28" s="2" t="s">
        <v>126</v>
      </c>
      <c r="G28" s="3" t="s">
        <v>207</v>
      </c>
      <c r="H28" s="2" t="s">
        <v>81</v>
      </c>
      <c r="I28" s="2">
        <v>1</v>
      </c>
      <c r="J28" s="2">
        <v>1</v>
      </c>
      <c r="K28" s="2">
        <v>1</v>
      </c>
      <c r="L28" s="2">
        <f t="shared" si="0"/>
        <v>4</v>
      </c>
      <c r="M28" s="2" t="str">
        <f>IF(COUNTIF(historically_strong_teams!$A$1:$A$25, B28)&gt;0,"Yes", "No")</f>
        <v>No</v>
      </c>
    </row>
    <row r="29" spans="1:13" x14ac:dyDescent="0.2">
      <c r="A29" s="2">
        <v>2010</v>
      </c>
      <c r="B29" s="2" t="s">
        <v>49</v>
      </c>
      <c r="C29" s="2" t="s">
        <v>131</v>
      </c>
      <c r="D29" s="2" t="s">
        <v>49</v>
      </c>
      <c r="E29" s="2" t="s">
        <v>82</v>
      </c>
      <c r="F29" s="2" t="s">
        <v>126</v>
      </c>
      <c r="G29" s="3" t="s">
        <v>209</v>
      </c>
      <c r="H29" s="2" t="s">
        <v>83</v>
      </c>
      <c r="I29" s="2">
        <v>1</v>
      </c>
      <c r="J29" s="2">
        <v>2</v>
      </c>
      <c r="K29" s="2">
        <v>0</v>
      </c>
      <c r="L29" s="2">
        <f t="shared" si="0"/>
        <v>5</v>
      </c>
      <c r="M29" s="2" t="str">
        <f>IF(COUNTIF(historically_strong_teams!$A$1:$A$25, B29)&gt;0,"Yes", "No")</f>
        <v>Yes</v>
      </c>
    </row>
    <row r="30" spans="1:13" x14ac:dyDescent="0.2">
      <c r="A30" s="2">
        <v>2010</v>
      </c>
      <c r="B30" s="2" t="s">
        <v>51</v>
      </c>
      <c r="C30" s="2" t="s">
        <v>132</v>
      </c>
      <c r="D30" s="2" t="s">
        <v>51</v>
      </c>
      <c r="E30" s="2" t="s">
        <v>82</v>
      </c>
      <c r="F30" s="2" t="s">
        <v>133</v>
      </c>
      <c r="G30" s="3" t="s">
        <v>106</v>
      </c>
      <c r="H30" s="2" t="s">
        <v>134</v>
      </c>
      <c r="I30" s="2">
        <v>2</v>
      </c>
      <c r="J30" s="2">
        <v>0</v>
      </c>
      <c r="K30" s="2">
        <v>1</v>
      </c>
      <c r="L30" s="2">
        <f t="shared" si="0"/>
        <v>6</v>
      </c>
      <c r="M30" s="2" t="str">
        <f>IF(COUNTIF(historically_strong_teams!$A$1:$A$25, B30)&gt;0,"Yes", "No")</f>
        <v>Yes</v>
      </c>
    </row>
    <row r="31" spans="1:13" x14ac:dyDescent="0.2">
      <c r="A31" s="2">
        <v>2010</v>
      </c>
      <c r="B31" s="2" t="s">
        <v>61</v>
      </c>
      <c r="C31" s="2" t="s">
        <v>135</v>
      </c>
      <c r="D31" s="2" t="s">
        <v>32</v>
      </c>
      <c r="E31" s="2" t="s">
        <v>79</v>
      </c>
      <c r="F31" s="2" t="s">
        <v>133</v>
      </c>
      <c r="G31" s="3" t="s">
        <v>207</v>
      </c>
      <c r="H31" s="2" t="s">
        <v>81</v>
      </c>
      <c r="I31" s="2">
        <v>1</v>
      </c>
      <c r="J31" s="2">
        <v>1</v>
      </c>
      <c r="K31" s="2">
        <v>1</v>
      </c>
      <c r="L31" s="2">
        <f t="shared" si="0"/>
        <v>4</v>
      </c>
      <c r="M31" s="2" t="str">
        <f>IF(COUNTIF(historically_strong_teams!$A$1:$A$25, B31)&gt;0,"Yes", "No")</f>
        <v>Yes</v>
      </c>
    </row>
    <row r="32" spans="1:13" x14ac:dyDescent="0.2">
      <c r="A32" s="2">
        <v>2010</v>
      </c>
      <c r="B32" s="2" t="s">
        <v>136</v>
      </c>
      <c r="C32" s="2" t="s">
        <v>137</v>
      </c>
      <c r="D32" s="2" t="s">
        <v>138</v>
      </c>
      <c r="E32" s="2" t="s">
        <v>79</v>
      </c>
      <c r="F32" s="2" t="s">
        <v>133</v>
      </c>
      <c r="G32" s="3" t="s">
        <v>87</v>
      </c>
      <c r="H32" s="2" t="s">
        <v>81</v>
      </c>
      <c r="I32" s="2">
        <v>0</v>
      </c>
      <c r="J32" s="2">
        <v>1</v>
      </c>
      <c r="K32" s="2">
        <v>2</v>
      </c>
      <c r="L32" s="2">
        <f t="shared" si="0"/>
        <v>1</v>
      </c>
      <c r="M32" s="2" t="str">
        <f>IF(COUNTIF(historically_strong_teams!$A$1:$A$25, B32)&gt;0,"Yes", "No")</f>
        <v>No</v>
      </c>
    </row>
    <row r="33" spans="1:13" x14ac:dyDescent="0.2">
      <c r="A33" s="2">
        <v>2010</v>
      </c>
      <c r="B33" s="2" t="s">
        <v>139</v>
      </c>
      <c r="C33" s="2" t="s">
        <v>140</v>
      </c>
      <c r="D33" s="2" t="s">
        <v>4</v>
      </c>
      <c r="E33" s="2" t="s">
        <v>79</v>
      </c>
      <c r="F33" s="2" t="s">
        <v>133</v>
      </c>
      <c r="G33" s="3" t="s">
        <v>106</v>
      </c>
      <c r="H33" s="2" t="s">
        <v>83</v>
      </c>
      <c r="I33" s="2">
        <v>2</v>
      </c>
      <c r="J33" s="2">
        <v>0</v>
      </c>
      <c r="K33" s="2">
        <v>1</v>
      </c>
      <c r="L33" s="2">
        <f t="shared" si="0"/>
        <v>6</v>
      </c>
      <c r="M33" s="2" t="str">
        <f>IF(COUNTIF(historically_strong_teams!$A$1:$A$25, B33)&gt;0,"Yes", "No")</f>
        <v>Yes</v>
      </c>
    </row>
    <row r="34" spans="1:13" x14ac:dyDescent="0.2">
      <c r="A34" s="2">
        <v>2014</v>
      </c>
      <c r="B34" s="2" t="s">
        <v>12</v>
      </c>
      <c r="C34" s="2" t="s">
        <v>141</v>
      </c>
      <c r="D34" s="2" t="s">
        <v>12</v>
      </c>
      <c r="E34" s="2" t="s">
        <v>82</v>
      </c>
      <c r="F34" s="2" t="s">
        <v>80</v>
      </c>
      <c r="G34" s="3" t="s">
        <v>208</v>
      </c>
      <c r="H34" s="2" t="s">
        <v>85</v>
      </c>
      <c r="I34" s="2">
        <v>2</v>
      </c>
      <c r="J34" s="2">
        <v>1</v>
      </c>
      <c r="K34" s="2">
        <v>0</v>
      </c>
      <c r="L34" s="2">
        <f t="shared" si="0"/>
        <v>7</v>
      </c>
      <c r="M34" s="2" t="str">
        <f>IF(COUNTIF(historically_strong_teams!$A$1:$A$25, B34)&gt;0,"Yes", "No")</f>
        <v>Yes</v>
      </c>
    </row>
    <row r="35" spans="1:13" x14ac:dyDescent="0.2">
      <c r="A35" s="2">
        <v>2014</v>
      </c>
      <c r="B35" s="2" t="s">
        <v>22</v>
      </c>
      <c r="C35" s="2" t="s">
        <v>142</v>
      </c>
      <c r="D35" s="2" t="s">
        <v>22</v>
      </c>
      <c r="E35" s="2" t="s">
        <v>82</v>
      </c>
      <c r="F35" s="2" t="s">
        <v>80</v>
      </c>
      <c r="G35" s="3" t="s">
        <v>96</v>
      </c>
      <c r="H35" s="2" t="s">
        <v>81</v>
      </c>
      <c r="I35" s="2">
        <v>1</v>
      </c>
      <c r="J35" s="2">
        <v>0</v>
      </c>
      <c r="K35" s="2">
        <v>2</v>
      </c>
      <c r="L35" s="2">
        <f t="shared" si="0"/>
        <v>3</v>
      </c>
      <c r="M35" s="2" t="str">
        <f>IF(COUNTIF(historically_strong_teams!$A$1:$A$25, B35)&gt;0,"Yes", "No")</f>
        <v>Yes</v>
      </c>
    </row>
    <row r="36" spans="1:13" x14ac:dyDescent="0.2">
      <c r="A36" s="2">
        <v>2014</v>
      </c>
      <c r="B36" s="2" t="s">
        <v>37</v>
      </c>
      <c r="C36" s="2" t="s">
        <v>143</v>
      </c>
      <c r="D36" s="2" t="s">
        <v>37</v>
      </c>
      <c r="E36" s="2" t="s">
        <v>82</v>
      </c>
      <c r="F36" s="2" t="s">
        <v>80</v>
      </c>
      <c r="G36" s="3" t="s">
        <v>208</v>
      </c>
      <c r="H36" s="2" t="s">
        <v>83</v>
      </c>
      <c r="I36" s="2">
        <v>2</v>
      </c>
      <c r="J36" s="2">
        <v>1</v>
      </c>
      <c r="K36" s="2">
        <v>0</v>
      </c>
      <c r="L36" s="2">
        <f t="shared" si="0"/>
        <v>7</v>
      </c>
      <c r="M36" s="2" t="str">
        <f>IF(COUNTIF(historically_strong_teams!$A$1:$A$25, B36)&gt;0,"Yes", "No")</f>
        <v>Yes</v>
      </c>
    </row>
    <row r="37" spans="1:13" x14ac:dyDescent="0.2">
      <c r="A37" s="2">
        <v>2014</v>
      </c>
      <c r="B37" s="2" t="s">
        <v>19</v>
      </c>
      <c r="C37" s="2" t="s">
        <v>144</v>
      </c>
      <c r="D37" s="2" t="s">
        <v>32</v>
      </c>
      <c r="E37" s="2" t="s">
        <v>79</v>
      </c>
      <c r="F37" s="2" t="s">
        <v>80</v>
      </c>
      <c r="G37" s="3" t="s">
        <v>116</v>
      </c>
      <c r="H37" s="2" t="s">
        <v>81</v>
      </c>
      <c r="I37" s="2">
        <v>0</v>
      </c>
      <c r="J37" s="2">
        <v>0</v>
      </c>
      <c r="K37" s="2">
        <v>3</v>
      </c>
      <c r="L37" s="2">
        <f t="shared" si="0"/>
        <v>0</v>
      </c>
      <c r="M37" s="2" t="str">
        <f>IF(COUNTIF(historically_strong_teams!$A$1:$A$25, B37)&gt;0,"Yes", "No")</f>
        <v>No</v>
      </c>
    </row>
    <row r="38" spans="1:13" x14ac:dyDescent="0.2">
      <c r="A38" s="2">
        <v>2014</v>
      </c>
      <c r="B38" s="2" t="s">
        <v>51</v>
      </c>
      <c r="C38" s="2" t="s">
        <v>132</v>
      </c>
      <c r="D38" s="2" t="s">
        <v>51</v>
      </c>
      <c r="E38" s="2" t="s">
        <v>82</v>
      </c>
      <c r="F38" s="2" t="s">
        <v>89</v>
      </c>
      <c r="G38" s="3" t="s">
        <v>96</v>
      </c>
      <c r="H38" s="2" t="s">
        <v>81</v>
      </c>
      <c r="I38" s="2">
        <v>1</v>
      </c>
      <c r="J38" s="2">
        <v>0</v>
      </c>
      <c r="K38" s="2">
        <v>2</v>
      </c>
      <c r="L38" s="2">
        <f t="shared" si="0"/>
        <v>3</v>
      </c>
      <c r="M38" s="2" t="str">
        <f>IF(COUNTIF(historically_strong_teams!$A$1:$A$25, B38)&gt;0,"Yes", "No")</f>
        <v>Yes</v>
      </c>
    </row>
    <row r="39" spans="1:13" x14ac:dyDescent="0.2">
      <c r="A39" s="2">
        <v>2014</v>
      </c>
      <c r="B39" s="2" t="s">
        <v>41</v>
      </c>
      <c r="C39" s="2" t="s">
        <v>145</v>
      </c>
      <c r="D39" s="2" t="s">
        <v>41</v>
      </c>
      <c r="E39" s="2" t="s">
        <v>82</v>
      </c>
      <c r="F39" s="2" t="s">
        <v>89</v>
      </c>
      <c r="G39" s="3" t="s">
        <v>90</v>
      </c>
      <c r="H39" s="2" t="s">
        <v>85</v>
      </c>
      <c r="I39" s="2">
        <v>3</v>
      </c>
      <c r="J39" s="2">
        <v>0</v>
      </c>
      <c r="K39" s="2">
        <v>0</v>
      </c>
      <c r="L39" s="2">
        <f t="shared" si="0"/>
        <v>9</v>
      </c>
      <c r="M39" s="2" t="str">
        <f>IF(COUNTIF(historically_strong_teams!$A$1:$A$25, B39)&gt;0,"Yes", "No")</f>
        <v>Yes</v>
      </c>
    </row>
    <row r="40" spans="1:13" x14ac:dyDescent="0.2">
      <c r="A40" s="2">
        <v>2014</v>
      </c>
      <c r="B40" s="2" t="s">
        <v>139</v>
      </c>
      <c r="C40" s="2" t="s">
        <v>146</v>
      </c>
      <c r="D40" s="2" t="s">
        <v>4</v>
      </c>
      <c r="E40" s="2" t="s">
        <v>79</v>
      </c>
      <c r="F40" s="2" t="s">
        <v>89</v>
      </c>
      <c r="G40" s="3" t="s">
        <v>106</v>
      </c>
      <c r="H40" s="2" t="s">
        <v>83</v>
      </c>
      <c r="I40" s="2">
        <v>2</v>
      </c>
      <c r="J40" s="2">
        <v>0</v>
      </c>
      <c r="K40" s="2">
        <v>1</v>
      </c>
      <c r="L40" s="2">
        <f t="shared" si="0"/>
        <v>6</v>
      </c>
      <c r="M40" s="2" t="str">
        <f>IF(COUNTIF(historically_strong_teams!$A$1:$A$25, B40)&gt;0,"Yes", "No")</f>
        <v>Yes</v>
      </c>
    </row>
    <row r="41" spans="1:13" x14ac:dyDescent="0.2">
      <c r="A41" s="2">
        <v>2014</v>
      </c>
      <c r="B41" s="2" t="s">
        <v>7</v>
      </c>
      <c r="C41" s="2" t="s">
        <v>147</v>
      </c>
      <c r="D41" s="2" t="s">
        <v>7</v>
      </c>
      <c r="E41" s="2" t="s">
        <v>82</v>
      </c>
      <c r="F41" s="2" t="s">
        <v>89</v>
      </c>
      <c r="G41" s="3" t="s">
        <v>116</v>
      </c>
      <c r="H41" s="2" t="s">
        <v>81</v>
      </c>
      <c r="I41" s="2">
        <v>0</v>
      </c>
      <c r="J41" s="2">
        <v>0</v>
      </c>
      <c r="K41" s="2">
        <v>3</v>
      </c>
      <c r="L41" s="2">
        <f t="shared" si="0"/>
        <v>0</v>
      </c>
      <c r="M41" s="2" t="str">
        <f>IF(COUNTIF(historically_strong_teams!$A$1:$A$25, B41)&gt;0,"Yes", "No")</f>
        <v>No</v>
      </c>
    </row>
    <row r="42" spans="1:13" x14ac:dyDescent="0.2">
      <c r="A42" s="2">
        <v>2014</v>
      </c>
      <c r="B42" s="2" t="s">
        <v>138</v>
      </c>
      <c r="C42" s="2" t="s">
        <v>148</v>
      </c>
      <c r="D42" s="2" t="s">
        <v>4</v>
      </c>
      <c r="E42" s="2" t="s">
        <v>79</v>
      </c>
      <c r="F42" s="2" t="s">
        <v>98</v>
      </c>
      <c r="G42" s="3" t="s">
        <v>90</v>
      </c>
      <c r="H42" s="2" t="s">
        <v>91</v>
      </c>
      <c r="I42" s="2">
        <v>3</v>
      </c>
      <c r="J42" s="2">
        <v>0</v>
      </c>
      <c r="K42" s="2">
        <v>0</v>
      </c>
      <c r="L42" s="2">
        <f t="shared" si="0"/>
        <v>9</v>
      </c>
      <c r="M42" s="2" t="str">
        <f>IF(COUNTIF(historically_strong_teams!$A$1:$A$25, B42)&gt;0,"Yes", "No")</f>
        <v>Yes</v>
      </c>
    </row>
    <row r="43" spans="1:13" x14ac:dyDescent="0.2">
      <c r="A43" s="2">
        <v>2014</v>
      </c>
      <c r="B43" s="2" t="s">
        <v>94</v>
      </c>
      <c r="C43" s="2" t="s">
        <v>149</v>
      </c>
      <c r="D43" s="2" t="s">
        <v>49</v>
      </c>
      <c r="E43" s="2" t="s">
        <v>79</v>
      </c>
      <c r="F43" s="2" t="s">
        <v>98</v>
      </c>
      <c r="G43" s="3" t="s">
        <v>207</v>
      </c>
      <c r="H43" s="2" t="s">
        <v>83</v>
      </c>
      <c r="I43" s="2">
        <v>1</v>
      </c>
      <c r="J43" s="2">
        <v>1</v>
      </c>
      <c r="K43" s="2">
        <v>1</v>
      </c>
      <c r="L43" s="2">
        <f t="shared" si="0"/>
        <v>4</v>
      </c>
      <c r="M43" s="2" t="str">
        <f>IF(COUNTIF(historically_strong_teams!$A$1:$A$25, B43)&gt;0,"Yes", "No")</f>
        <v>No</v>
      </c>
    </row>
    <row r="44" spans="1:13" x14ac:dyDescent="0.2">
      <c r="A44" s="2">
        <v>2014</v>
      </c>
      <c r="B44" s="2" t="s">
        <v>129</v>
      </c>
      <c r="C44" s="2" t="s">
        <v>150</v>
      </c>
      <c r="D44" s="2" t="s">
        <v>30</v>
      </c>
      <c r="E44" s="2" t="s">
        <v>79</v>
      </c>
      <c r="F44" s="2" t="s">
        <v>98</v>
      </c>
      <c r="G44" s="3" t="s">
        <v>96</v>
      </c>
      <c r="H44" s="2" t="s">
        <v>81</v>
      </c>
      <c r="I44" s="2">
        <v>1</v>
      </c>
      <c r="J44" s="2">
        <v>0</v>
      </c>
      <c r="K44" s="2">
        <v>2</v>
      </c>
      <c r="L44" s="2">
        <f t="shared" si="0"/>
        <v>3</v>
      </c>
      <c r="M44" s="2" t="str">
        <f>IF(COUNTIF(historically_strong_teams!$A$1:$A$25, B44)&gt;0,"Yes", "No")</f>
        <v>No</v>
      </c>
    </row>
    <row r="45" spans="1:13" x14ac:dyDescent="0.2">
      <c r="A45" s="2">
        <v>2014</v>
      </c>
      <c r="B45" s="2" t="s">
        <v>36</v>
      </c>
      <c r="C45" s="2" t="s">
        <v>151</v>
      </c>
      <c r="D45" s="2" t="s">
        <v>14</v>
      </c>
      <c r="E45" s="2" t="s">
        <v>79</v>
      </c>
      <c r="F45" s="2" t="s">
        <v>98</v>
      </c>
      <c r="G45" s="3" t="s">
        <v>87</v>
      </c>
      <c r="H45" s="2" t="s">
        <v>81</v>
      </c>
      <c r="I45" s="2">
        <v>0</v>
      </c>
      <c r="J45" s="2">
        <v>1</v>
      </c>
      <c r="K45" s="2">
        <v>2</v>
      </c>
      <c r="L45" s="2">
        <f t="shared" si="0"/>
        <v>1</v>
      </c>
      <c r="M45" s="2" t="str">
        <f>IF(COUNTIF(historically_strong_teams!$A$1:$A$25, B45)&gt;0,"Yes", "No")</f>
        <v>Yes</v>
      </c>
    </row>
    <row r="46" spans="1:13" x14ac:dyDescent="0.2">
      <c r="A46" s="2">
        <v>2014</v>
      </c>
      <c r="B46" s="2" t="s">
        <v>65</v>
      </c>
      <c r="C46" s="2" t="s">
        <v>84</v>
      </c>
      <c r="D46" s="2" t="s">
        <v>65</v>
      </c>
      <c r="E46" s="2" t="s">
        <v>82</v>
      </c>
      <c r="F46" s="2" t="s">
        <v>105</v>
      </c>
      <c r="G46" s="3" t="s">
        <v>106</v>
      </c>
      <c r="H46" s="2" t="s">
        <v>83</v>
      </c>
      <c r="I46" s="2">
        <v>2</v>
      </c>
      <c r="J46" s="2">
        <v>0</v>
      </c>
      <c r="K46" s="2">
        <v>1</v>
      </c>
      <c r="L46" s="2">
        <f t="shared" si="0"/>
        <v>6</v>
      </c>
      <c r="M46" s="2" t="str">
        <f>IF(COUNTIF(historically_strong_teams!$A$1:$A$25, B46)&gt;0,"Yes", "No")</f>
        <v>Yes</v>
      </c>
    </row>
    <row r="47" spans="1:13" x14ac:dyDescent="0.2">
      <c r="A47" s="2">
        <v>2014</v>
      </c>
      <c r="B47" s="2" t="s">
        <v>21</v>
      </c>
      <c r="C47" s="2" t="s">
        <v>152</v>
      </c>
      <c r="D47" s="2" t="s">
        <v>138</v>
      </c>
      <c r="E47" s="2" t="s">
        <v>79</v>
      </c>
      <c r="F47" s="2" t="s">
        <v>105</v>
      </c>
      <c r="G47" s="3" t="s">
        <v>208</v>
      </c>
      <c r="H47" s="2" t="s">
        <v>91</v>
      </c>
      <c r="I47" s="2">
        <v>2</v>
      </c>
      <c r="J47" s="2">
        <v>1</v>
      </c>
      <c r="K47" s="2">
        <v>0</v>
      </c>
      <c r="L47" s="2">
        <f t="shared" si="0"/>
        <v>7</v>
      </c>
      <c r="M47" s="2" t="str">
        <f>IF(COUNTIF(historically_strong_teams!$A$1:$A$25, B47)&gt;0,"Yes", "No")</f>
        <v>No</v>
      </c>
    </row>
    <row r="48" spans="1:13" x14ac:dyDescent="0.2">
      <c r="A48" s="2">
        <v>2014</v>
      </c>
      <c r="B48" s="2" t="s">
        <v>29</v>
      </c>
      <c r="C48" s="2" t="s">
        <v>153</v>
      </c>
      <c r="D48" s="2" t="s">
        <v>29</v>
      </c>
      <c r="E48" s="2" t="s">
        <v>82</v>
      </c>
      <c r="F48" s="2" t="s">
        <v>105</v>
      </c>
      <c r="G48" s="3" t="s">
        <v>87</v>
      </c>
      <c r="H48" s="2" t="s">
        <v>81</v>
      </c>
      <c r="I48" s="2">
        <v>0</v>
      </c>
      <c r="J48" s="2">
        <v>1</v>
      </c>
      <c r="K48" s="2">
        <v>2</v>
      </c>
      <c r="L48" s="2">
        <f t="shared" si="0"/>
        <v>1</v>
      </c>
      <c r="M48" s="2" t="str">
        <f>IF(COUNTIF(historically_strong_teams!$A$1:$A$25, B48)&gt;0,"Yes", "No")</f>
        <v>Yes</v>
      </c>
    </row>
    <row r="49" spans="1:13" x14ac:dyDescent="0.2">
      <c r="A49" s="2">
        <v>2014</v>
      </c>
      <c r="B49" s="2" t="s">
        <v>14</v>
      </c>
      <c r="C49" s="2" t="s">
        <v>154</v>
      </c>
      <c r="D49" s="2" t="s">
        <v>14</v>
      </c>
      <c r="E49" s="2" t="s">
        <v>82</v>
      </c>
      <c r="F49" s="2" t="s">
        <v>105</v>
      </c>
      <c r="G49" s="3" t="s">
        <v>96</v>
      </c>
      <c r="H49" s="2" t="s">
        <v>81</v>
      </c>
      <c r="I49" s="2">
        <v>1</v>
      </c>
      <c r="J49" s="2">
        <v>0</v>
      </c>
      <c r="K49" s="2">
        <v>2</v>
      </c>
      <c r="L49" s="2">
        <f t="shared" si="0"/>
        <v>3</v>
      </c>
      <c r="M49" s="2" t="str">
        <f>IF(COUNTIF(historically_strong_teams!$A$1:$A$25, B49)&gt;0,"Yes", "No")</f>
        <v>Yes</v>
      </c>
    </row>
    <row r="50" spans="1:13" x14ac:dyDescent="0.2">
      <c r="A50" s="2">
        <v>2014</v>
      </c>
      <c r="B50" s="2" t="s">
        <v>61</v>
      </c>
      <c r="C50" s="2" t="s">
        <v>135</v>
      </c>
      <c r="D50" s="2" t="s">
        <v>32</v>
      </c>
      <c r="E50" s="2" t="s">
        <v>79</v>
      </c>
      <c r="F50" s="2" t="s">
        <v>111</v>
      </c>
      <c r="G50" s="3" t="s">
        <v>106</v>
      </c>
      <c r="H50" s="2" t="s">
        <v>83</v>
      </c>
      <c r="I50" s="2">
        <v>2</v>
      </c>
      <c r="J50" s="2">
        <v>0</v>
      </c>
      <c r="K50" s="2">
        <v>1</v>
      </c>
      <c r="L50" s="2">
        <f t="shared" si="0"/>
        <v>6</v>
      </c>
      <c r="M50" s="2" t="str">
        <f>IF(COUNTIF(historically_strong_teams!$A$1:$A$25, B50)&gt;0,"Yes", "No")</f>
        <v>Yes</v>
      </c>
    </row>
    <row r="51" spans="1:13" x14ac:dyDescent="0.2">
      <c r="A51" s="2">
        <v>2014</v>
      </c>
      <c r="B51" s="2" t="s">
        <v>27</v>
      </c>
      <c r="C51" s="2" t="s">
        <v>137</v>
      </c>
      <c r="D51" s="2" t="s">
        <v>138</v>
      </c>
      <c r="E51" s="2" t="s">
        <v>79</v>
      </c>
      <c r="F51" s="2" t="s">
        <v>111</v>
      </c>
      <c r="G51" s="3" t="s">
        <v>207</v>
      </c>
      <c r="H51" s="2" t="s">
        <v>81</v>
      </c>
      <c r="I51" s="2">
        <v>1</v>
      </c>
      <c r="J51" s="2">
        <v>1</v>
      </c>
      <c r="K51" s="2">
        <v>1</v>
      </c>
      <c r="L51" s="2">
        <f t="shared" si="0"/>
        <v>4</v>
      </c>
      <c r="M51" s="2" t="str">
        <f>IF(COUNTIF(historically_strong_teams!$A$1:$A$25, B51)&gt;0,"Yes", "No")</f>
        <v>No</v>
      </c>
    </row>
    <row r="52" spans="1:13" x14ac:dyDescent="0.2">
      <c r="A52" s="2">
        <v>2014</v>
      </c>
      <c r="B52" s="2" t="s">
        <v>30</v>
      </c>
      <c r="C52" s="2" t="s">
        <v>31</v>
      </c>
      <c r="D52" s="2" t="s">
        <v>30</v>
      </c>
      <c r="E52" s="2" t="s">
        <v>82</v>
      </c>
      <c r="F52" s="2" t="s">
        <v>111</v>
      </c>
      <c r="G52" s="3" t="s">
        <v>208</v>
      </c>
      <c r="H52" s="2" t="s">
        <v>91</v>
      </c>
      <c r="I52" s="2">
        <v>2</v>
      </c>
      <c r="J52" s="2">
        <v>1</v>
      </c>
      <c r="K52" s="2">
        <v>0</v>
      </c>
      <c r="L52" s="2">
        <f t="shared" si="0"/>
        <v>7</v>
      </c>
      <c r="M52" s="2" t="str">
        <f>IF(COUNTIF(historically_strong_teams!$A$1:$A$25, B52)&gt;0,"Yes", "No")</f>
        <v>Yes</v>
      </c>
    </row>
    <row r="53" spans="1:13" x14ac:dyDescent="0.2">
      <c r="A53" s="2">
        <v>2014</v>
      </c>
      <c r="B53" s="2" t="s">
        <v>136</v>
      </c>
      <c r="C53" s="2" t="s">
        <v>155</v>
      </c>
      <c r="D53" s="2" t="s">
        <v>138</v>
      </c>
      <c r="E53" s="2" t="s">
        <v>79</v>
      </c>
      <c r="F53" s="2" t="s">
        <v>111</v>
      </c>
      <c r="G53" s="3" t="s">
        <v>116</v>
      </c>
      <c r="H53" s="2" t="s">
        <v>81</v>
      </c>
      <c r="I53" s="2">
        <v>0</v>
      </c>
      <c r="J53" s="2">
        <v>0</v>
      </c>
      <c r="K53" s="2">
        <v>3</v>
      </c>
      <c r="L53" s="2">
        <f t="shared" si="0"/>
        <v>0</v>
      </c>
      <c r="M53" s="2" t="str">
        <f>IF(COUNTIF(historically_strong_teams!$A$1:$A$25, B53)&gt;0,"Yes", "No")</f>
        <v>No</v>
      </c>
    </row>
    <row r="54" spans="1:13" x14ac:dyDescent="0.2">
      <c r="A54" s="2">
        <v>2014</v>
      </c>
      <c r="B54" s="2" t="s">
        <v>4</v>
      </c>
      <c r="C54" s="2" t="s">
        <v>156</v>
      </c>
      <c r="D54" s="2" t="s">
        <v>4</v>
      </c>
      <c r="E54" s="2" t="s">
        <v>82</v>
      </c>
      <c r="F54" s="2" t="s">
        <v>118</v>
      </c>
      <c r="G54" s="3" t="s">
        <v>90</v>
      </c>
      <c r="H54" s="2" t="s">
        <v>112</v>
      </c>
      <c r="I54" s="2">
        <v>3</v>
      </c>
      <c r="J54" s="2">
        <v>0</v>
      </c>
      <c r="K54" s="2">
        <v>0</v>
      </c>
      <c r="L54" s="2">
        <f t="shared" si="0"/>
        <v>9</v>
      </c>
      <c r="M54" s="2" t="str">
        <f>IF(COUNTIF(historically_strong_teams!$A$1:$A$25, B54)&gt;0,"Yes", "No")</f>
        <v>Yes</v>
      </c>
    </row>
    <row r="55" spans="1:13" x14ac:dyDescent="0.2">
      <c r="A55" s="2">
        <v>2014</v>
      </c>
      <c r="B55" s="2" t="s">
        <v>157</v>
      </c>
      <c r="C55" s="2" t="s">
        <v>158</v>
      </c>
      <c r="D55" s="2" t="s">
        <v>157</v>
      </c>
      <c r="E55" s="2" t="s">
        <v>82</v>
      </c>
      <c r="F55" s="2" t="s">
        <v>118</v>
      </c>
      <c r="G55" s="3" t="s">
        <v>96</v>
      </c>
      <c r="H55" s="2" t="s">
        <v>81</v>
      </c>
      <c r="I55" s="2">
        <v>1</v>
      </c>
      <c r="J55" s="2">
        <v>0</v>
      </c>
      <c r="K55" s="2">
        <v>2</v>
      </c>
      <c r="L55" s="2">
        <f t="shared" si="0"/>
        <v>3</v>
      </c>
      <c r="M55" s="2" t="str">
        <f>IF(COUNTIF(historically_strong_teams!$A$1:$A$25, B55)&gt;0,"Yes", "No")</f>
        <v>No</v>
      </c>
    </row>
    <row r="56" spans="1:13" x14ac:dyDescent="0.2">
      <c r="A56" s="2">
        <v>2014</v>
      </c>
      <c r="B56" s="2" t="s">
        <v>34</v>
      </c>
      <c r="C56" s="2" t="s">
        <v>131</v>
      </c>
      <c r="D56" s="2" t="s">
        <v>49</v>
      </c>
      <c r="E56" s="2" t="s">
        <v>79</v>
      </c>
      <c r="F56" s="2" t="s">
        <v>118</v>
      </c>
      <c r="G56" s="3" t="s">
        <v>87</v>
      </c>
      <c r="H56" s="2" t="s">
        <v>81</v>
      </c>
      <c r="I56" s="2">
        <v>0</v>
      </c>
      <c r="J56" s="2">
        <v>1</v>
      </c>
      <c r="K56" s="2">
        <v>2</v>
      </c>
      <c r="L56" s="2">
        <f t="shared" si="0"/>
        <v>1</v>
      </c>
      <c r="M56" s="2" t="str">
        <f>IF(COUNTIF(historically_strong_teams!$A$1:$A$25, B56)&gt;0,"Yes", "No")</f>
        <v>No</v>
      </c>
    </row>
    <row r="57" spans="1:13" x14ac:dyDescent="0.2">
      <c r="A57" s="2">
        <v>2014</v>
      </c>
      <c r="B57" s="2" t="s">
        <v>44</v>
      </c>
      <c r="C57" s="2" t="s">
        <v>159</v>
      </c>
      <c r="D57" s="2" t="s">
        <v>44</v>
      </c>
      <c r="E57" s="2" t="s">
        <v>82</v>
      </c>
      <c r="F57" s="2" t="s">
        <v>118</v>
      </c>
      <c r="G57" s="3" t="s">
        <v>207</v>
      </c>
      <c r="H57" s="2" t="s">
        <v>83</v>
      </c>
      <c r="I57" s="2">
        <v>1</v>
      </c>
      <c r="J57" s="2">
        <v>1</v>
      </c>
      <c r="K57" s="2">
        <v>1</v>
      </c>
      <c r="L57" s="2">
        <f t="shared" si="0"/>
        <v>4</v>
      </c>
      <c r="M57" s="2" t="str">
        <f>IF(COUNTIF(historically_strong_teams!$A$1:$A$25, B57)&gt;0,"Yes", "No")</f>
        <v>Yes</v>
      </c>
    </row>
    <row r="58" spans="1:13" x14ac:dyDescent="0.2">
      <c r="A58" s="2">
        <v>2014</v>
      </c>
      <c r="B58" s="2" t="s">
        <v>32</v>
      </c>
      <c r="C58" s="2" t="s">
        <v>104</v>
      </c>
      <c r="D58" s="2" t="s">
        <v>32</v>
      </c>
      <c r="E58" s="2" t="s">
        <v>82</v>
      </c>
      <c r="F58" s="2" t="s">
        <v>126</v>
      </c>
      <c r="G58" s="3" t="s">
        <v>208</v>
      </c>
      <c r="H58" s="2" t="s">
        <v>134</v>
      </c>
      <c r="I58" s="2">
        <v>2</v>
      </c>
      <c r="J58" s="2">
        <v>1</v>
      </c>
      <c r="K58" s="2">
        <v>0</v>
      </c>
      <c r="L58" s="2">
        <f t="shared" si="0"/>
        <v>7</v>
      </c>
      <c r="M58" s="2" t="str">
        <f>IF(COUNTIF(historically_strong_teams!$A$1:$A$25, B58)&gt;0,"Yes", "No")</f>
        <v>Yes</v>
      </c>
    </row>
    <row r="59" spans="1:13" x14ac:dyDescent="0.2">
      <c r="A59" s="2">
        <v>2014</v>
      </c>
      <c r="B59" s="2" t="s">
        <v>49</v>
      </c>
      <c r="C59" s="2" t="s">
        <v>160</v>
      </c>
      <c r="D59" s="2" t="s">
        <v>49</v>
      </c>
      <c r="E59" s="2" t="s">
        <v>82</v>
      </c>
      <c r="F59" s="2" t="s">
        <v>126</v>
      </c>
      <c r="G59" s="3" t="s">
        <v>207</v>
      </c>
      <c r="H59" s="2" t="s">
        <v>81</v>
      </c>
      <c r="I59" s="2">
        <v>1</v>
      </c>
      <c r="J59" s="2">
        <v>1</v>
      </c>
      <c r="K59" s="2">
        <v>1</v>
      </c>
      <c r="L59" s="2">
        <f t="shared" si="0"/>
        <v>4</v>
      </c>
      <c r="M59" s="2" t="str">
        <f>IF(COUNTIF(historically_strong_teams!$A$1:$A$25, B59)&gt;0,"Yes", "No")</f>
        <v>Yes</v>
      </c>
    </row>
    <row r="60" spans="1:13" x14ac:dyDescent="0.2">
      <c r="A60" s="2">
        <v>2014</v>
      </c>
      <c r="B60" s="2" t="s">
        <v>33</v>
      </c>
      <c r="C60" s="2" t="s">
        <v>161</v>
      </c>
      <c r="D60" s="2" t="s">
        <v>33</v>
      </c>
      <c r="E60" s="2" t="s">
        <v>82</v>
      </c>
      <c r="F60" s="2" t="s">
        <v>126</v>
      </c>
      <c r="G60" s="3" t="s">
        <v>87</v>
      </c>
      <c r="H60" s="2" t="s">
        <v>81</v>
      </c>
      <c r="I60" s="2">
        <v>0</v>
      </c>
      <c r="J60" s="2">
        <v>1</v>
      </c>
      <c r="K60" s="2">
        <v>2</v>
      </c>
      <c r="L60" s="2">
        <f t="shared" si="0"/>
        <v>1</v>
      </c>
      <c r="M60" s="2" t="str">
        <f>IF(COUNTIF(historically_strong_teams!$A$1:$A$25, B60)&gt;0,"Yes", "No")</f>
        <v>No</v>
      </c>
    </row>
    <row r="61" spans="1:13" x14ac:dyDescent="0.2">
      <c r="A61" s="2">
        <v>2014</v>
      </c>
      <c r="B61" s="2" t="s">
        <v>18</v>
      </c>
      <c r="C61" s="2" t="s">
        <v>162</v>
      </c>
      <c r="D61" s="2" t="s">
        <v>32</v>
      </c>
      <c r="E61" s="2" t="s">
        <v>79</v>
      </c>
      <c r="F61" s="2" t="s">
        <v>126</v>
      </c>
      <c r="G61" s="3" t="s">
        <v>207</v>
      </c>
      <c r="H61" s="2" t="s">
        <v>83</v>
      </c>
      <c r="I61" s="2">
        <v>1</v>
      </c>
      <c r="J61" s="2">
        <v>1</v>
      </c>
      <c r="K61" s="2">
        <v>1</v>
      </c>
      <c r="L61" s="2">
        <f t="shared" si="0"/>
        <v>4</v>
      </c>
      <c r="M61" s="2" t="str">
        <f>IF(COUNTIF(historically_strong_teams!$A$1:$A$25, B61)&gt;0,"Yes", "No")</f>
        <v>Yes</v>
      </c>
    </row>
    <row r="62" spans="1:13" x14ac:dyDescent="0.2">
      <c r="A62" s="2">
        <v>2014</v>
      </c>
      <c r="B62" s="2" t="s">
        <v>10</v>
      </c>
      <c r="C62" s="2" t="s">
        <v>163</v>
      </c>
      <c r="D62" s="2" t="s">
        <v>10</v>
      </c>
      <c r="E62" s="2" t="s">
        <v>82</v>
      </c>
      <c r="F62" s="2" t="s">
        <v>133</v>
      </c>
      <c r="G62" s="3" t="s">
        <v>90</v>
      </c>
      <c r="H62" s="2" t="s">
        <v>91</v>
      </c>
      <c r="I62" s="2">
        <v>3</v>
      </c>
      <c r="J62" s="2">
        <v>0</v>
      </c>
      <c r="K62" s="2">
        <v>0</v>
      </c>
      <c r="L62" s="2">
        <f t="shared" si="0"/>
        <v>9</v>
      </c>
      <c r="M62" s="2" t="str">
        <f>IF(COUNTIF(historically_strong_teams!$A$1:$A$25, B62)&gt;0,"Yes", "No")</f>
        <v>Yes</v>
      </c>
    </row>
    <row r="63" spans="1:13" x14ac:dyDescent="0.2">
      <c r="A63" s="2">
        <v>2014</v>
      </c>
      <c r="B63" s="2" t="s">
        <v>100</v>
      </c>
      <c r="C63" s="2" t="s">
        <v>164</v>
      </c>
      <c r="D63" s="2" t="s">
        <v>157</v>
      </c>
      <c r="E63" s="2" t="s">
        <v>79</v>
      </c>
      <c r="F63" s="2" t="s">
        <v>133</v>
      </c>
      <c r="G63" s="3" t="s">
        <v>207</v>
      </c>
      <c r="H63" s="2" t="s">
        <v>83</v>
      </c>
      <c r="I63" s="2">
        <v>1</v>
      </c>
      <c r="J63" s="2">
        <v>1</v>
      </c>
      <c r="K63" s="2">
        <v>1</v>
      </c>
      <c r="L63" s="2">
        <f t="shared" si="0"/>
        <v>4</v>
      </c>
      <c r="M63" s="2" t="str">
        <f>IF(COUNTIF(historically_strong_teams!$A$1:$A$25, B63)&gt;0,"Yes", "No")</f>
        <v>No</v>
      </c>
    </row>
    <row r="64" spans="1:13" x14ac:dyDescent="0.2">
      <c r="A64" s="2">
        <v>2014</v>
      </c>
      <c r="B64" s="2" t="s">
        <v>165</v>
      </c>
      <c r="C64" s="2" t="s">
        <v>97</v>
      </c>
      <c r="D64" s="2" t="s">
        <v>14</v>
      </c>
      <c r="E64" s="2" t="s">
        <v>79</v>
      </c>
      <c r="F64" s="2" t="s">
        <v>133</v>
      </c>
      <c r="G64" s="3" t="s">
        <v>119</v>
      </c>
      <c r="H64" s="2" t="s">
        <v>81</v>
      </c>
      <c r="I64" s="2">
        <v>0</v>
      </c>
      <c r="J64" s="2">
        <v>2</v>
      </c>
      <c r="K64" s="2">
        <v>1</v>
      </c>
      <c r="L64" s="2">
        <f t="shared" si="0"/>
        <v>2</v>
      </c>
      <c r="M64" s="2" t="str">
        <f>IF(COUNTIF(historically_strong_teams!$A$1:$A$25, B64)&gt;0,"Yes", "No")</f>
        <v>No</v>
      </c>
    </row>
    <row r="65" spans="1:13" x14ac:dyDescent="0.2">
      <c r="A65" s="2">
        <v>2014</v>
      </c>
      <c r="B65" s="2" t="s">
        <v>59</v>
      </c>
      <c r="C65" s="2" t="s">
        <v>166</v>
      </c>
      <c r="D65" s="2" t="s">
        <v>59</v>
      </c>
      <c r="E65" s="2" t="s">
        <v>82</v>
      </c>
      <c r="F65" s="2" t="s">
        <v>133</v>
      </c>
      <c r="G65" s="3" t="s">
        <v>87</v>
      </c>
      <c r="H65" s="2" t="s">
        <v>81</v>
      </c>
      <c r="I65" s="2">
        <v>0</v>
      </c>
      <c r="J65" s="2">
        <v>1</v>
      </c>
      <c r="K65" s="2">
        <v>2</v>
      </c>
      <c r="L65" s="2">
        <f t="shared" si="0"/>
        <v>1</v>
      </c>
      <c r="M65" s="2" t="str">
        <f>IF(COUNTIF(historically_strong_teams!$A$1:$A$25, B65)&gt;0,"Yes", "No")</f>
        <v>Yes</v>
      </c>
    </row>
    <row r="66" spans="1:13" x14ac:dyDescent="0.2">
      <c r="A66" s="2">
        <v>2018</v>
      </c>
      <c r="B66" s="2" t="s">
        <v>165</v>
      </c>
      <c r="C66" s="2" t="s">
        <v>167</v>
      </c>
      <c r="D66" s="2" t="s">
        <v>165</v>
      </c>
      <c r="E66" s="2" t="s">
        <v>82</v>
      </c>
      <c r="F66" s="2" t="s">
        <v>80</v>
      </c>
      <c r="G66" s="3" t="s">
        <v>106</v>
      </c>
      <c r="H66" s="2" t="s">
        <v>91</v>
      </c>
      <c r="I66" s="2">
        <v>2</v>
      </c>
      <c r="J66" s="2">
        <v>0</v>
      </c>
      <c r="K66" s="2">
        <v>1</v>
      </c>
      <c r="L66" s="2">
        <f t="shared" si="0"/>
        <v>6</v>
      </c>
      <c r="M66" s="2" t="str">
        <f>IF(COUNTIF(historically_strong_teams!$A$1:$A$25, B66)&gt;0,"Yes", "No")</f>
        <v>No</v>
      </c>
    </row>
    <row r="67" spans="1:13" x14ac:dyDescent="0.2">
      <c r="A67" s="2">
        <v>2018</v>
      </c>
      <c r="B67" s="2" t="s">
        <v>52</v>
      </c>
      <c r="C67" s="2" t="s">
        <v>168</v>
      </c>
      <c r="D67" s="2" t="s">
        <v>4</v>
      </c>
      <c r="E67" s="2" t="s">
        <v>79</v>
      </c>
      <c r="F67" s="2" t="s">
        <v>80</v>
      </c>
      <c r="G67" s="3" t="s">
        <v>96</v>
      </c>
      <c r="H67" s="2" t="s">
        <v>81</v>
      </c>
      <c r="I67" s="2">
        <v>1</v>
      </c>
      <c r="J67" s="2">
        <v>0</v>
      </c>
      <c r="K67" s="2">
        <v>2</v>
      </c>
      <c r="L67" s="2">
        <f t="shared" ref="L67:L129" si="1">(3*I67)+J67</f>
        <v>3</v>
      </c>
      <c r="M67" s="2" t="str">
        <f>IF(COUNTIF(historically_strong_teams!$A$1:$A$25, B67)&gt;0,"Yes", "No")</f>
        <v>No</v>
      </c>
    </row>
    <row r="68" spans="1:13" x14ac:dyDescent="0.2">
      <c r="A68" s="2">
        <v>2018</v>
      </c>
      <c r="B68" s="2" t="s">
        <v>28</v>
      </c>
      <c r="C68" s="2" t="s">
        <v>169</v>
      </c>
      <c r="D68" s="2" t="s">
        <v>4</v>
      </c>
      <c r="E68" s="2" t="s">
        <v>79</v>
      </c>
      <c r="F68" s="2" t="s">
        <v>80</v>
      </c>
      <c r="G68" s="3" t="s">
        <v>116</v>
      </c>
      <c r="H68" s="2" t="s">
        <v>81</v>
      </c>
      <c r="I68" s="2">
        <v>0</v>
      </c>
      <c r="J68" s="2">
        <v>0</v>
      </c>
      <c r="K68" s="2">
        <v>3</v>
      </c>
      <c r="L68" s="2">
        <f t="shared" si="1"/>
        <v>0</v>
      </c>
      <c r="M68" s="2" t="str">
        <f>IF(COUNTIF(historically_strong_teams!$A$1:$A$25, B68)&gt;0,"Yes", "No")</f>
        <v>No</v>
      </c>
    </row>
    <row r="69" spans="1:13" x14ac:dyDescent="0.2">
      <c r="A69" s="2">
        <v>2018</v>
      </c>
      <c r="B69" s="2" t="s">
        <v>65</v>
      </c>
      <c r="C69" s="2" t="s">
        <v>84</v>
      </c>
      <c r="D69" s="2" t="s">
        <v>65</v>
      </c>
      <c r="E69" s="2" t="s">
        <v>82</v>
      </c>
      <c r="F69" s="2" t="s">
        <v>80</v>
      </c>
      <c r="G69" s="3" t="s">
        <v>90</v>
      </c>
      <c r="H69" s="2" t="s">
        <v>91</v>
      </c>
      <c r="I69" s="2">
        <v>3</v>
      </c>
      <c r="J69" s="2">
        <v>0</v>
      </c>
      <c r="K69" s="2">
        <v>0</v>
      </c>
      <c r="L69" s="2">
        <f t="shared" si="1"/>
        <v>9</v>
      </c>
      <c r="M69" s="2" t="str">
        <f>IF(COUNTIF(historically_strong_teams!$A$1:$A$25, B69)&gt;0,"Yes", "No")</f>
        <v>Yes</v>
      </c>
    </row>
    <row r="70" spans="1:13" x14ac:dyDescent="0.2">
      <c r="A70" s="2">
        <v>2018</v>
      </c>
      <c r="B70" s="2" t="s">
        <v>49</v>
      </c>
      <c r="C70" s="2" t="s">
        <v>149</v>
      </c>
      <c r="D70" s="2" t="s">
        <v>49</v>
      </c>
      <c r="E70" s="2" t="s">
        <v>82</v>
      </c>
      <c r="F70" s="2" t="s">
        <v>89</v>
      </c>
      <c r="G70" s="3" t="s">
        <v>209</v>
      </c>
      <c r="H70" s="2" t="s">
        <v>83</v>
      </c>
      <c r="I70" s="2">
        <v>1</v>
      </c>
      <c r="J70" s="2">
        <v>2</v>
      </c>
      <c r="K70" s="2">
        <v>0</v>
      </c>
      <c r="L70" s="2">
        <f t="shared" si="1"/>
        <v>5</v>
      </c>
      <c r="M70" s="2" t="str">
        <f>IF(COUNTIF(historically_strong_teams!$A$1:$A$25, B70)&gt;0,"Yes", "No")</f>
        <v>Yes</v>
      </c>
    </row>
    <row r="71" spans="1:13" x14ac:dyDescent="0.2">
      <c r="A71" s="2">
        <v>2018</v>
      </c>
      <c r="B71" s="2" t="s">
        <v>51</v>
      </c>
      <c r="C71" s="2" t="s">
        <v>170</v>
      </c>
      <c r="D71" s="2" t="s">
        <v>51</v>
      </c>
      <c r="E71" s="2" t="s">
        <v>82</v>
      </c>
      <c r="F71" s="2" t="s">
        <v>89</v>
      </c>
      <c r="G71" s="3" t="s">
        <v>209</v>
      </c>
      <c r="H71" s="2" t="s">
        <v>83</v>
      </c>
      <c r="I71" s="2">
        <v>1</v>
      </c>
      <c r="J71" s="2">
        <v>2</v>
      </c>
      <c r="K71" s="2">
        <v>0</v>
      </c>
      <c r="L71" s="2">
        <f t="shared" si="1"/>
        <v>5</v>
      </c>
      <c r="M71" s="2" t="str">
        <f>IF(COUNTIF(historically_strong_teams!$A$1:$A$25, B71)&gt;0,"Yes", "No")</f>
        <v>Yes</v>
      </c>
    </row>
    <row r="72" spans="1:13" x14ac:dyDescent="0.2">
      <c r="A72" s="2">
        <v>2018</v>
      </c>
      <c r="B72" s="2" t="s">
        <v>39</v>
      </c>
      <c r="C72" s="2" t="s">
        <v>53</v>
      </c>
      <c r="D72" s="2" t="s">
        <v>30</v>
      </c>
      <c r="E72" s="2" t="s">
        <v>79</v>
      </c>
      <c r="F72" s="2" t="s">
        <v>89</v>
      </c>
      <c r="G72" s="3" t="s">
        <v>87</v>
      </c>
      <c r="H72" s="2" t="s">
        <v>81</v>
      </c>
      <c r="I72" s="2">
        <v>0</v>
      </c>
      <c r="J72" s="2">
        <v>1</v>
      </c>
      <c r="K72" s="2">
        <v>2</v>
      </c>
      <c r="L72" s="2">
        <f t="shared" si="1"/>
        <v>1</v>
      </c>
      <c r="M72" s="2" t="str">
        <f>IF(COUNTIF(historically_strong_teams!$A$1:$A$25, B72)&gt;0,"Yes", "No")</f>
        <v>Yes</v>
      </c>
    </row>
    <row r="73" spans="1:13" x14ac:dyDescent="0.2">
      <c r="A73" s="2">
        <v>2018</v>
      </c>
      <c r="B73" s="2" t="s">
        <v>34</v>
      </c>
      <c r="C73" s="2" t="s">
        <v>131</v>
      </c>
      <c r="D73" s="2" t="s">
        <v>49</v>
      </c>
      <c r="E73" s="2" t="s">
        <v>79</v>
      </c>
      <c r="F73" s="2" t="s">
        <v>89</v>
      </c>
      <c r="G73" s="3" t="s">
        <v>207</v>
      </c>
      <c r="H73" s="2" t="s">
        <v>81</v>
      </c>
      <c r="I73" s="2">
        <v>1</v>
      </c>
      <c r="J73" s="2">
        <v>1</v>
      </c>
      <c r="K73" s="2">
        <v>1</v>
      </c>
      <c r="L73" s="2">
        <f t="shared" si="1"/>
        <v>4</v>
      </c>
      <c r="M73" s="2" t="str">
        <f>IF(COUNTIF(historically_strong_teams!$A$1:$A$25, B73)&gt;0,"Yes", "No")</f>
        <v>No</v>
      </c>
    </row>
    <row r="74" spans="1:13" x14ac:dyDescent="0.2">
      <c r="A74" s="2">
        <v>2018</v>
      </c>
      <c r="B74" s="2" t="s">
        <v>30</v>
      </c>
      <c r="C74" s="2" t="s">
        <v>31</v>
      </c>
      <c r="D74" s="2" t="s">
        <v>30</v>
      </c>
      <c r="E74" s="2" t="s">
        <v>82</v>
      </c>
      <c r="F74" s="2" t="s">
        <v>98</v>
      </c>
      <c r="G74" s="3" t="s">
        <v>208</v>
      </c>
      <c r="H74" s="2" t="s">
        <v>134</v>
      </c>
      <c r="I74" s="2">
        <v>2</v>
      </c>
      <c r="J74" s="2">
        <v>1</v>
      </c>
      <c r="K74" s="2">
        <v>0</v>
      </c>
      <c r="L74" s="2">
        <f t="shared" si="1"/>
        <v>7</v>
      </c>
      <c r="M74" s="2" t="str">
        <f>IF(COUNTIF(historically_strong_teams!$A$1:$A$25, B74)&gt;0,"Yes", "No")</f>
        <v>Yes</v>
      </c>
    </row>
    <row r="75" spans="1:13" x14ac:dyDescent="0.2">
      <c r="A75" s="2">
        <v>2018</v>
      </c>
      <c r="B75" s="2" t="s">
        <v>7</v>
      </c>
      <c r="C75" s="2" t="s">
        <v>110</v>
      </c>
      <c r="D75" s="2" t="s">
        <v>41</v>
      </c>
      <c r="E75" s="2" t="s">
        <v>79</v>
      </c>
      <c r="F75" s="2" t="s">
        <v>98</v>
      </c>
      <c r="G75" s="3" t="s">
        <v>87</v>
      </c>
      <c r="H75" s="2" t="s">
        <v>81</v>
      </c>
      <c r="I75" s="2">
        <v>0</v>
      </c>
      <c r="J75" s="2">
        <v>1</v>
      </c>
      <c r="K75" s="2">
        <v>2</v>
      </c>
      <c r="L75" s="2">
        <f t="shared" si="1"/>
        <v>1</v>
      </c>
      <c r="M75" s="2" t="str">
        <f>IF(COUNTIF(historically_strong_teams!$A$1:$A$25, B75)&gt;0,"Yes", "No")</f>
        <v>No</v>
      </c>
    </row>
    <row r="76" spans="1:13" x14ac:dyDescent="0.2">
      <c r="A76" s="2">
        <v>2018</v>
      </c>
      <c r="B76" s="2" t="s">
        <v>171</v>
      </c>
      <c r="C76" s="2" t="s">
        <v>172</v>
      </c>
      <c r="D76" s="2" t="s">
        <v>4</v>
      </c>
      <c r="E76" s="2" t="s">
        <v>79</v>
      </c>
      <c r="F76" s="2" t="s">
        <v>98</v>
      </c>
      <c r="G76" s="3" t="s">
        <v>96</v>
      </c>
      <c r="H76" s="2" t="s">
        <v>81</v>
      </c>
      <c r="I76" s="2">
        <v>1</v>
      </c>
      <c r="J76" s="2">
        <v>0</v>
      </c>
      <c r="K76" s="2">
        <v>2</v>
      </c>
      <c r="L76" s="2">
        <f t="shared" si="1"/>
        <v>3</v>
      </c>
      <c r="M76" s="2" t="str">
        <f>IF(COUNTIF(historically_strong_teams!$A$1:$A$25, B76)&gt;0,"Yes", "No")</f>
        <v>No</v>
      </c>
    </row>
    <row r="77" spans="1:13" x14ac:dyDescent="0.2">
      <c r="A77" s="2">
        <v>2018</v>
      </c>
      <c r="B77" s="2" t="s">
        <v>25</v>
      </c>
      <c r="C77" s="2" t="s">
        <v>173</v>
      </c>
      <c r="D77" s="2" t="s">
        <v>45</v>
      </c>
      <c r="E77" s="2" t="s">
        <v>79</v>
      </c>
      <c r="F77" s="2" t="s">
        <v>98</v>
      </c>
      <c r="G77" s="3" t="s">
        <v>209</v>
      </c>
      <c r="H77" s="2" t="s">
        <v>83</v>
      </c>
      <c r="I77" s="2">
        <v>1</v>
      </c>
      <c r="J77" s="2">
        <v>2</v>
      </c>
      <c r="K77" s="2">
        <v>0</v>
      </c>
      <c r="L77" s="2">
        <f t="shared" si="1"/>
        <v>5</v>
      </c>
      <c r="M77" s="2" t="str">
        <f>IF(COUNTIF(historically_strong_teams!$A$1:$A$25, B77)&gt;0,"Yes", "No")</f>
        <v>Yes</v>
      </c>
    </row>
    <row r="78" spans="1:13" x14ac:dyDescent="0.2">
      <c r="A78" s="2">
        <v>2018</v>
      </c>
      <c r="B78" s="2" t="s">
        <v>4</v>
      </c>
      <c r="C78" s="2" t="s">
        <v>146</v>
      </c>
      <c r="D78" s="2" t="s">
        <v>4</v>
      </c>
      <c r="E78" s="2" t="s">
        <v>82</v>
      </c>
      <c r="F78" s="2" t="s">
        <v>105</v>
      </c>
      <c r="G78" s="3" t="s">
        <v>207</v>
      </c>
      <c r="H78" s="2" t="s">
        <v>83</v>
      </c>
      <c r="I78" s="2">
        <v>1</v>
      </c>
      <c r="J78" s="2">
        <v>1</v>
      </c>
      <c r="K78" s="2">
        <v>1</v>
      </c>
      <c r="L78" s="2">
        <f t="shared" si="1"/>
        <v>4</v>
      </c>
      <c r="M78" s="2" t="str">
        <f>IF(COUNTIF(historically_strong_teams!$A$1:$A$25, B78)&gt;0,"Yes", "No")</f>
        <v>Yes</v>
      </c>
    </row>
    <row r="79" spans="1:13" x14ac:dyDescent="0.2">
      <c r="A79" s="2">
        <v>2018</v>
      </c>
      <c r="B79" s="2" t="s">
        <v>174</v>
      </c>
      <c r="C79" s="2" t="s">
        <v>175</v>
      </c>
      <c r="D79" s="2" t="s">
        <v>174</v>
      </c>
      <c r="E79" s="2" t="s">
        <v>82</v>
      </c>
      <c r="F79" s="2" t="s">
        <v>105</v>
      </c>
      <c r="G79" s="3" t="s">
        <v>87</v>
      </c>
      <c r="H79" s="2" t="s">
        <v>81</v>
      </c>
      <c r="I79" s="2">
        <v>0</v>
      </c>
      <c r="J79" s="2">
        <v>1</v>
      </c>
      <c r="K79" s="2">
        <v>2</v>
      </c>
      <c r="L79" s="2">
        <f t="shared" si="1"/>
        <v>1</v>
      </c>
      <c r="M79" s="2" t="str">
        <f>IF(COUNTIF(historically_strong_teams!$A$1:$A$25, B79)&gt;0,"Yes", "No")</f>
        <v>No</v>
      </c>
    </row>
    <row r="80" spans="1:13" x14ac:dyDescent="0.2">
      <c r="A80" s="2">
        <v>2018</v>
      </c>
      <c r="B80" s="2" t="s">
        <v>22</v>
      </c>
      <c r="C80" s="2" t="s">
        <v>23</v>
      </c>
      <c r="D80" s="2" t="s">
        <v>22</v>
      </c>
      <c r="E80" s="2" t="s">
        <v>82</v>
      </c>
      <c r="F80" s="2" t="s">
        <v>105</v>
      </c>
      <c r="G80" s="3" t="s">
        <v>90</v>
      </c>
      <c r="H80" s="2" t="s">
        <v>112</v>
      </c>
      <c r="I80" s="2">
        <v>3</v>
      </c>
      <c r="J80" s="2">
        <v>0</v>
      </c>
      <c r="K80" s="2">
        <v>0</v>
      </c>
      <c r="L80" s="2">
        <f t="shared" si="1"/>
        <v>9</v>
      </c>
      <c r="M80" s="2" t="str">
        <f>IF(COUNTIF(historically_strong_teams!$A$1:$A$25, B80)&gt;0,"Yes", "No")</f>
        <v>Yes</v>
      </c>
    </row>
    <row r="81" spans="1:13" x14ac:dyDescent="0.2">
      <c r="A81" s="2">
        <v>2018</v>
      </c>
      <c r="B81" s="2" t="s">
        <v>44</v>
      </c>
      <c r="C81" s="2" t="s">
        <v>176</v>
      </c>
      <c r="D81" s="2" t="s">
        <v>32</v>
      </c>
      <c r="E81" s="2" t="s">
        <v>79</v>
      </c>
      <c r="F81" s="2" t="s">
        <v>105</v>
      </c>
      <c r="G81" s="3" t="s">
        <v>96</v>
      </c>
      <c r="H81" s="2" t="s">
        <v>81</v>
      </c>
      <c r="I81" s="2">
        <v>1</v>
      </c>
      <c r="J81" s="2">
        <v>0</v>
      </c>
      <c r="K81" s="2">
        <v>2</v>
      </c>
      <c r="L81" s="2">
        <f t="shared" si="1"/>
        <v>3</v>
      </c>
      <c r="M81" s="2" t="str">
        <f>IF(COUNTIF(historically_strong_teams!$A$1:$A$25, B81)&gt;0,"Yes", "No")</f>
        <v>Yes</v>
      </c>
    </row>
    <row r="82" spans="1:13" x14ac:dyDescent="0.2">
      <c r="A82" s="2">
        <v>2018</v>
      </c>
      <c r="B82" s="2" t="s">
        <v>12</v>
      </c>
      <c r="C82" s="2" t="s">
        <v>177</v>
      </c>
      <c r="D82" s="2" t="s">
        <v>12</v>
      </c>
      <c r="E82" s="2" t="s">
        <v>82</v>
      </c>
      <c r="F82" s="2" t="s">
        <v>111</v>
      </c>
      <c r="G82" s="3" t="s">
        <v>208</v>
      </c>
      <c r="H82" s="2" t="s">
        <v>91</v>
      </c>
      <c r="I82" s="2">
        <v>2</v>
      </c>
      <c r="J82" s="2">
        <v>1</v>
      </c>
      <c r="K82" s="2">
        <v>0</v>
      </c>
      <c r="L82" s="2">
        <f t="shared" si="1"/>
        <v>7</v>
      </c>
      <c r="M82" s="2" t="str">
        <f>IF(COUNTIF(historically_strong_teams!$A$1:$A$25, B82)&gt;0,"Yes", "No")</f>
        <v>Yes</v>
      </c>
    </row>
    <row r="83" spans="1:13" x14ac:dyDescent="0.2">
      <c r="A83" s="2">
        <v>2018</v>
      </c>
      <c r="B83" s="2" t="s">
        <v>61</v>
      </c>
      <c r="C83" s="2" t="s">
        <v>178</v>
      </c>
      <c r="D83" s="2" t="s">
        <v>157</v>
      </c>
      <c r="E83" s="2" t="s">
        <v>79</v>
      </c>
      <c r="F83" s="2" t="s">
        <v>111</v>
      </c>
      <c r="G83" s="3" t="s">
        <v>209</v>
      </c>
      <c r="H83" s="2" t="s">
        <v>83</v>
      </c>
      <c r="I83" s="2">
        <v>1</v>
      </c>
      <c r="J83" s="2">
        <v>2</v>
      </c>
      <c r="K83" s="2">
        <v>0</v>
      </c>
      <c r="L83" s="2">
        <f t="shared" si="1"/>
        <v>5</v>
      </c>
      <c r="M83" s="2" t="str">
        <f>IF(COUNTIF(historically_strong_teams!$A$1:$A$25, B83)&gt;0,"Yes", "No")</f>
        <v>Yes</v>
      </c>
    </row>
    <row r="84" spans="1:13" x14ac:dyDescent="0.2">
      <c r="A84" s="2">
        <v>2018</v>
      </c>
      <c r="B84" s="2" t="s">
        <v>21</v>
      </c>
      <c r="C84" s="2" t="s">
        <v>179</v>
      </c>
      <c r="D84" s="2" t="s">
        <v>21</v>
      </c>
      <c r="E84" s="2" t="s">
        <v>82</v>
      </c>
      <c r="F84" s="2" t="s">
        <v>111</v>
      </c>
      <c r="G84" s="3" t="s">
        <v>87</v>
      </c>
      <c r="H84" s="2" t="s">
        <v>81</v>
      </c>
      <c r="I84" s="2">
        <v>0</v>
      </c>
      <c r="J84" s="2">
        <v>1</v>
      </c>
      <c r="K84" s="2">
        <v>2</v>
      </c>
      <c r="L84" s="2">
        <f t="shared" si="1"/>
        <v>1</v>
      </c>
      <c r="M84" s="2" t="str">
        <f>IF(COUNTIF(historically_strong_teams!$A$1:$A$25, B84)&gt;0,"Yes", "No")</f>
        <v>No</v>
      </c>
    </row>
    <row r="85" spans="1:13" x14ac:dyDescent="0.2">
      <c r="A85" s="2">
        <v>2018</v>
      </c>
      <c r="B85" s="2" t="s">
        <v>57</v>
      </c>
      <c r="C85" s="2" t="s">
        <v>180</v>
      </c>
      <c r="D85" s="2" t="s">
        <v>57</v>
      </c>
      <c r="E85" s="2" t="s">
        <v>82</v>
      </c>
      <c r="F85" s="2" t="s">
        <v>111</v>
      </c>
      <c r="G85" s="3" t="s">
        <v>96</v>
      </c>
      <c r="H85" s="2" t="s">
        <v>81</v>
      </c>
      <c r="I85" s="2">
        <v>1</v>
      </c>
      <c r="J85" s="2">
        <v>0</v>
      </c>
      <c r="K85" s="2">
        <v>2</v>
      </c>
      <c r="L85" s="2">
        <f t="shared" si="1"/>
        <v>3</v>
      </c>
      <c r="M85" s="2" t="str">
        <f>IF(COUNTIF(historically_strong_teams!$A$1:$A$25, B85)&gt;0,"Yes", "No")</f>
        <v>No</v>
      </c>
    </row>
    <row r="86" spans="1:13" x14ac:dyDescent="0.2">
      <c r="A86" s="2">
        <v>2018</v>
      </c>
      <c r="B86" s="2" t="s">
        <v>32</v>
      </c>
      <c r="C86" s="2" t="s">
        <v>104</v>
      </c>
      <c r="D86" s="2" t="s">
        <v>32</v>
      </c>
      <c r="E86" s="2" t="s">
        <v>82</v>
      </c>
      <c r="F86" s="2" t="s">
        <v>118</v>
      </c>
      <c r="G86" s="3" t="s">
        <v>96</v>
      </c>
      <c r="H86" s="2" t="s">
        <v>81</v>
      </c>
      <c r="I86" s="2">
        <v>1</v>
      </c>
      <c r="J86" s="2">
        <v>0</v>
      </c>
      <c r="K86" s="2">
        <v>2</v>
      </c>
      <c r="L86" s="2">
        <f t="shared" si="1"/>
        <v>3</v>
      </c>
      <c r="M86" s="2" t="str">
        <f>IF(COUNTIF(historically_strong_teams!$A$1:$A$25, B86)&gt;0,"Yes", "No")</f>
        <v>Yes</v>
      </c>
    </row>
    <row r="87" spans="1:13" x14ac:dyDescent="0.2">
      <c r="A87" s="2">
        <v>2018</v>
      </c>
      <c r="B87" s="2" t="s">
        <v>37</v>
      </c>
      <c r="C87" s="2" t="s">
        <v>181</v>
      </c>
      <c r="D87" s="2" t="s">
        <v>138</v>
      </c>
      <c r="E87" s="2" t="s">
        <v>79</v>
      </c>
      <c r="F87" s="2" t="s">
        <v>118</v>
      </c>
      <c r="G87" s="3" t="s">
        <v>106</v>
      </c>
      <c r="H87" s="2" t="s">
        <v>83</v>
      </c>
      <c r="I87" s="2">
        <v>2</v>
      </c>
      <c r="J87" s="2">
        <v>0</v>
      </c>
      <c r="K87" s="2">
        <v>1</v>
      </c>
      <c r="L87" s="2">
        <f t="shared" si="1"/>
        <v>6</v>
      </c>
      <c r="M87" s="2" t="str">
        <f>IF(COUNTIF(historically_strong_teams!$A$1:$A$25, B87)&gt;0,"Yes", "No")</f>
        <v>Yes</v>
      </c>
    </row>
    <row r="88" spans="1:13" x14ac:dyDescent="0.2">
      <c r="A88" s="2">
        <v>2018</v>
      </c>
      <c r="B88" s="2" t="s">
        <v>60</v>
      </c>
      <c r="C88" s="2" t="s">
        <v>182</v>
      </c>
      <c r="D88" s="2" t="s">
        <v>60</v>
      </c>
      <c r="E88" s="2" t="s">
        <v>82</v>
      </c>
      <c r="F88" s="2" t="s">
        <v>118</v>
      </c>
      <c r="G88" s="3" t="s">
        <v>106</v>
      </c>
      <c r="H88" s="2" t="s">
        <v>91</v>
      </c>
      <c r="I88" s="2">
        <v>2</v>
      </c>
      <c r="J88" s="2">
        <v>0</v>
      </c>
      <c r="K88" s="2">
        <v>1</v>
      </c>
      <c r="L88" s="2">
        <f t="shared" si="1"/>
        <v>6</v>
      </c>
      <c r="M88" s="2" t="str">
        <f>IF(COUNTIF(historically_strong_teams!$A$1:$A$25, B88)&gt;0,"Yes", "No")</f>
        <v>Yes</v>
      </c>
    </row>
    <row r="89" spans="1:13" x14ac:dyDescent="0.2">
      <c r="A89" s="2">
        <v>2018</v>
      </c>
      <c r="B89" s="2" t="s">
        <v>59</v>
      </c>
      <c r="C89" s="2" t="s">
        <v>183</v>
      </c>
      <c r="D89" s="2" t="s">
        <v>59</v>
      </c>
      <c r="E89" s="2" t="s">
        <v>82</v>
      </c>
      <c r="F89" s="2" t="s">
        <v>118</v>
      </c>
      <c r="G89" s="3" t="s">
        <v>96</v>
      </c>
      <c r="H89" s="2" t="s">
        <v>81</v>
      </c>
      <c r="I89" s="2">
        <v>1</v>
      </c>
      <c r="J89" s="2">
        <v>0</v>
      </c>
      <c r="K89" s="2">
        <v>2</v>
      </c>
      <c r="L89" s="2">
        <f t="shared" si="1"/>
        <v>3</v>
      </c>
      <c r="M89" s="2" t="str">
        <f>IF(COUNTIF(historically_strong_teams!$A$1:$A$25, B89)&gt;0,"Yes", "No")</f>
        <v>Yes</v>
      </c>
    </row>
    <row r="90" spans="1:13" x14ac:dyDescent="0.2">
      <c r="A90" s="2">
        <v>2018</v>
      </c>
      <c r="B90" s="2" t="s">
        <v>10</v>
      </c>
      <c r="C90" s="2" t="s">
        <v>50</v>
      </c>
      <c r="D90" s="2" t="s">
        <v>51</v>
      </c>
      <c r="E90" s="2" t="s">
        <v>79</v>
      </c>
      <c r="F90" s="2" t="s">
        <v>126</v>
      </c>
      <c r="G90" s="3" t="s">
        <v>90</v>
      </c>
      <c r="H90" s="2" t="s">
        <v>85</v>
      </c>
      <c r="I90" s="2">
        <v>3</v>
      </c>
      <c r="J90" s="2">
        <v>0</v>
      </c>
      <c r="K90" s="2">
        <v>0</v>
      </c>
      <c r="L90" s="2">
        <f t="shared" si="1"/>
        <v>9</v>
      </c>
      <c r="M90" s="2" t="str">
        <f>IF(COUNTIF(historically_strong_teams!$A$1:$A$25, B90)&gt;0,"Yes", "No")</f>
        <v>Yes</v>
      </c>
    </row>
    <row r="91" spans="1:13" x14ac:dyDescent="0.2">
      <c r="A91" s="2">
        <v>2018</v>
      </c>
      <c r="B91" s="2" t="s">
        <v>46</v>
      </c>
      <c r="C91" s="2" t="s">
        <v>184</v>
      </c>
      <c r="D91" s="2" t="s">
        <v>138</v>
      </c>
      <c r="E91" s="2" t="s">
        <v>79</v>
      </c>
      <c r="F91" s="2" t="s">
        <v>126</v>
      </c>
      <c r="G91" s="3" t="s">
        <v>116</v>
      </c>
      <c r="H91" s="2" t="s">
        <v>81</v>
      </c>
      <c r="I91" s="2">
        <v>0</v>
      </c>
      <c r="J91" s="2">
        <v>0</v>
      </c>
      <c r="K91" s="2">
        <v>3</v>
      </c>
      <c r="L91" s="2">
        <f t="shared" si="1"/>
        <v>0</v>
      </c>
      <c r="M91" s="2" t="str">
        <f>IF(COUNTIF(historically_strong_teams!$A$1:$A$25, B91)&gt;0,"Yes", "No")</f>
        <v>No</v>
      </c>
    </row>
    <row r="92" spans="1:13" x14ac:dyDescent="0.2">
      <c r="A92" s="2">
        <v>2018</v>
      </c>
      <c r="B92" s="2" t="s">
        <v>62</v>
      </c>
      <c r="C92" s="2" t="s">
        <v>185</v>
      </c>
      <c r="D92" s="2" t="s">
        <v>62</v>
      </c>
      <c r="E92" s="2" t="s">
        <v>82</v>
      </c>
      <c r="F92" s="2" t="s">
        <v>126</v>
      </c>
      <c r="G92" s="3" t="s">
        <v>96</v>
      </c>
      <c r="H92" s="2" t="s">
        <v>81</v>
      </c>
      <c r="I92" s="2">
        <v>1</v>
      </c>
      <c r="J92" s="2">
        <v>0</v>
      </c>
      <c r="K92" s="2">
        <v>2</v>
      </c>
      <c r="L92" s="2">
        <f t="shared" si="1"/>
        <v>3</v>
      </c>
      <c r="M92" s="2" t="str">
        <f>IF(COUNTIF(historically_strong_teams!$A$1:$A$25, B92)&gt;0,"Yes", "No")</f>
        <v>No</v>
      </c>
    </row>
    <row r="93" spans="1:13" x14ac:dyDescent="0.2">
      <c r="A93" s="2">
        <v>2018</v>
      </c>
      <c r="B93" s="2" t="s">
        <v>29</v>
      </c>
      <c r="C93" s="2" t="s">
        <v>186</v>
      </c>
      <c r="D93" s="2" t="s">
        <v>29</v>
      </c>
      <c r="E93" s="2" t="s">
        <v>82</v>
      </c>
      <c r="F93" s="2" t="s">
        <v>126</v>
      </c>
      <c r="G93" s="3" t="s">
        <v>106</v>
      </c>
      <c r="H93" s="2" t="s">
        <v>85</v>
      </c>
      <c r="I93" s="2">
        <v>2</v>
      </c>
      <c r="J93" s="2">
        <v>0</v>
      </c>
      <c r="K93" s="2">
        <v>1</v>
      </c>
      <c r="L93" s="2">
        <f t="shared" si="1"/>
        <v>6</v>
      </c>
      <c r="M93" s="2" t="str">
        <f>IF(COUNTIF(historically_strong_teams!$A$1:$A$25, B93)&gt;0,"Yes", "No")</f>
        <v>Yes</v>
      </c>
    </row>
    <row r="94" spans="1:13" x14ac:dyDescent="0.2">
      <c r="A94" s="2">
        <v>2018</v>
      </c>
      <c r="B94" s="2" t="s">
        <v>48</v>
      </c>
      <c r="C94" s="2" t="s">
        <v>187</v>
      </c>
      <c r="D94" s="2" t="s">
        <v>48</v>
      </c>
      <c r="E94" s="2" t="s">
        <v>82</v>
      </c>
      <c r="F94" s="2" t="s">
        <v>133</v>
      </c>
      <c r="G94" s="3" t="s">
        <v>96</v>
      </c>
      <c r="H94" s="2" t="s">
        <v>81</v>
      </c>
      <c r="I94" s="2">
        <v>1</v>
      </c>
      <c r="J94" s="2">
        <v>0</v>
      </c>
      <c r="K94" s="2">
        <v>2</v>
      </c>
      <c r="L94" s="2">
        <f t="shared" si="1"/>
        <v>3</v>
      </c>
      <c r="M94" s="2" t="str">
        <f>IF(COUNTIF(historically_strong_teams!$A$1:$A$25, B94)&gt;0,"Yes", "No")</f>
        <v>Yes</v>
      </c>
    </row>
    <row r="95" spans="1:13" x14ac:dyDescent="0.2">
      <c r="A95" s="2">
        <v>2018</v>
      </c>
      <c r="B95" s="2" t="s">
        <v>56</v>
      </c>
      <c r="C95" s="2" t="s">
        <v>188</v>
      </c>
      <c r="D95" s="2" t="s">
        <v>56</v>
      </c>
      <c r="E95" s="2" t="s">
        <v>82</v>
      </c>
      <c r="F95" s="2" t="s">
        <v>133</v>
      </c>
      <c r="G95" s="3" t="s">
        <v>207</v>
      </c>
      <c r="H95" s="2" t="s">
        <v>81</v>
      </c>
      <c r="I95" s="2">
        <v>1</v>
      </c>
      <c r="J95" s="2">
        <v>1</v>
      </c>
      <c r="K95" s="2">
        <v>1</v>
      </c>
      <c r="L95" s="2">
        <f t="shared" si="1"/>
        <v>4</v>
      </c>
      <c r="M95" s="2" t="str">
        <f>IF(COUNTIF(historically_strong_teams!$A$1:$A$25, B95)&gt;0,"Yes", "No")</f>
        <v>Yes</v>
      </c>
    </row>
    <row r="96" spans="1:13" x14ac:dyDescent="0.2">
      <c r="A96" s="2">
        <v>2018</v>
      </c>
      <c r="B96" s="2" t="s">
        <v>138</v>
      </c>
      <c r="C96" s="2" t="s">
        <v>148</v>
      </c>
      <c r="D96" s="2" t="s">
        <v>4</v>
      </c>
      <c r="E96" s="2" t="s">
        <v>79</v>
      </c>
      <c r="F96" s="2" t="s">
        <v>133</v>
      </c>
      <c r="G96" s="3" t="s">
        <v>106</v>
      </c>
      <c r="H96" s="2" t="s">
        <v>83</v>
      </c>
      <c r="I96" s="2">
        <v>2</v>
      </c>
      <c r="J96" s="2">
        <v>0</v>
      </c>
      <c r="K96" s="2">
        <v>1</v>
      </c>
      <c r="L96" s="2">
        <f t="shared" si="1"/>
        <v>6</v>
      </c>
      <c r="M96" s="2" t="str">
        <f>IF(COUNTIF(historically_strong_teams!$A$1:$A$25, B96)&gt;0,"Yes", "No")</f>
        <v>Yes</v>
      </c>
    </row>
    <row r="97" spans="1:13" x14ac:dyDescent="0.2">
      <c r="A97" s="2">
        <v>2018</v>
      </c>
      <c r="B97" s="2" t="s">
        <v>36</v>
      </c>
      <c r="C97" s="2" t="s">
        <v>189</v>
      </c>
      <c r="D97" s="2" t="s">
        <v>36</v>
      </c>
      <c r="E97" s="2" t="s">
        <v>82</v>
      </c>
      <c r="F97" s="2" t="s">
        <v>133</v>
      </c>
      <c r="G97" s="3" t="s">
        <v>207</v>
      </c>
      <c r="H97" s="2" t="s">
        <v>83</v>
      </c>
      <c r="I97" s="2">
        <v>1</v>
      </c>
      <c r="J97" s="2">
        <v>1</v>
      </c>
      <c r="K97" s="2">
        <v>1</v>
      </c>
      <c r="L97" s="2">
        <f t="shared" si="1"/>
        <v>4</v>
      </c>
      <c r="M97" s="2" t="str">
        <f>IF(COUNTIF(historically_strong_teams!$A$1:$A$25, B97)&gt;0,"Yes", "No")</f>
        <v>Yes</v>
      </c>
    </row>
    <row r="98" spans="1:13" x14ac:dyDescent="0.2">
      <c r="A98" s="2">
        <v>2022</v>
      </c>
      <c r="B98" s="2" t="s">
        <v>190</v>
      </c>
      <c r="C98" s="2" t="s">
        <v>191</v>
      </c>
      <c r="D98" s="2" t="s">
        <v>51</v>
      </c>
      <c r="E98" s="2" t="s">
        <v>79</v>
      </c>
      <c r="F98" s="2" t="s">
        <v>80</v>
      </c>
      <c r="G98" s="3" t="s">
        <v>116</v>
      </c>
      <c r="H98" s="2" t="s">
        <v>81</v>
      </c>
      <c r="I98" s="2">
        <v>0</v>
      </c>
      <c r="J98" s="2">
        <v>0</v>
      </c>
      <c r="K98" s="2">
        <v>3</v>
      </c>
      <c r="L98" s="2">
        <f t="shared" si="1"/>
        <v>0</v>
      </c>
      <c r="M98" s="2" t="str">
        <f>IF(COUNTIF(historically_strong_teams!$A$1:$A$25, B98)&gt;0,"Yes", "No")</f>
        <v>No</v>
      </c>
    </row>
    <row r="99" spans="1:13" x14ac:dyDescent="0.2">
      <c r="A99" s="2">
        <v>2022</v>
      </c>
      <c r="B99" s="2" t="s">
        <v>27</v>
      </c>
      <c r="C99" s="2" t="s">
        <v>192</v>
      </c>
      <c r="D99" s="2" t="s">
        <v>4</v>
      </c>
      <c r="E99" s="2" t="s">
        <v>79</v>
      </c>
      <c r="F99" s="2" t="s">
        <v>80</v>
      </c>
      <c r="G99" s="3" t="s">
        <v>207</v>
      </c>
      <c r="H99" s="2" t="s">
        <v>81</v>
      </c>
      <c r="I99" s="2">
        <v>1</v>
      </c>
      <c r="J99" s="2">
        <v>1</v>
      </c>
      <c r="K99" s="2">
        <v>1</v>
      </c>
      <c r="L99" s="2">
        <f t="shared" si="1"/>
        <v>4</v>
      </c>
      <c r="M99" s="2" t="str">
        <f>IF(COUNTIF(historically_strong_teams!$A$1:$A$25, B99)&gt;0,"Yes", "No")</f>
        <v>No</v>
      </c>
    </row>
    <row r="100" spans="1:13" x14ac:dyDescent="0.2">
      <c r="A100" s="2">
        <v>2022</v>
      </c>
      <c r="B100" s="2" t="s">
        <v>56</v>
      </c>
      <c r="C100" s="2" t="s">
        <v>188</v>
      </c>
      <c r="D100" s="2" t="s">
        <v>56</v>
      </c>
      <c r="E100" s="2" t="s">
        <v>82</v>
      </c>
      <c r="F100" s="2" t="s">
        <v>80</v>
      </c>
      <c r="G100" s="3" t="s">
        <v>106</v>
      </c>
      <c r="H100" s="2" t="s">
        <v>83</v>
      </c>
      <c r="I100" s="2">
        <v>2</v>
      </c>
      <c r="J100" s="2">
        <v>0</v>
      </c>
      <c r="K100" s="2">
        <v>1</v>
      </c>
      <c r="L100" s="2">
        <f t="shared" si="1"/>
        <v>6</v>
      </c>
      <c r="M100" s="2" t="str">
        <f>IF(COUNTIF(historically_strong_teams!$A$1:$A$25, B100)&gt;0,"Yes", "No")</f>
        <v>Yes</v>
      </c>
    </row>
    <row r="101" spans="1:13" x14ac:dyDescent="0.2">
      <c r="A101" s="2">
        <v>2022</v>
      </c>
      <c r="B101" s="2" t="s">
        <v>41</v>
      </c>
      <c r="C101" s="2" t="s">
        <v>145</v>
      </c>
      <c r="D101" s="2" t="s">
        <v>41</v>
      </c>
      <c r="E101" s="2" t="s">
        <v>82</v>
      </c>
      <c r="F101" s="2" t="s">
        <v>80</v>
      </c>
      <c r="G101" s="3" t="s">
        <v>208</v>
      </c>
      <c r="H101" s="2" t="s">
        <v>91</v>
      </c>
      <c r="I101" s="2">
        <v>2</v>
      </c>
      <c r="J101" s="2">
        <v>1</v>
      </c>
      <c r="K101" s="2">
        <v>0</v>
      </c>
      <c r="L101" s="2">
        <f t="shared" si="1"/>
        <v>7</v>
      </c>
      <c r="M101" s="2" t="str">
        <f>IF(COUNTIF(historically_strong_teams!$A$1:$A$25, B101)&gt;0,"Yes", "No")</f>
        <v>Yes</v>
      </c>
    </row>
    <row r="102" spans="1:13" x14ac:dyDescent="0.2">
      <c r="A102" s="2">
        <v>2022</v>
      </c>
      <c r="B102" s="2" t="s">
        <v>29</v>
      </c>
      <c r="C102" s="2" t="s">
        <v>186</v>
      </c>
      <c r="D102" s="2" t="s">
        <v>29</v>
      </c>
      <c r="E102" s="2" t="s">
        <v>82</v>
      </c>
      <c r="F102" s="2" t="s">
        <v>89</v>
      </c>
      <c r="G102" s="3" t="s">
        <v>208</v>
      </c>
      <c r="H102" s="2" t="s">
        <v>91</v>
      </c>
      <c r="I102" s="2">
        <v>2</v>
      </c>
      <c r="J102" s="2">
        <v>1</v>
      </c>
      <c r="K102" s="2">
        <v>0</v>
      </c>
      <c r="L102" s="2">
        <f t="shared" si="1"/>
        <v>7</v>
      </c>
      <c r="M102" s="2" t="str">
        <f>IF(COUNTIF(historically_strong_teams!$A$1:$A$25, B102)&gt;0,"Yes", "No")</f>
        <v>Yes</v>
      </c>
    </row>
    <row r="103" spans="1:13" x14ac:dyDescent="0.2">
      <c r="A103" s="2">
        <v>2022</v>
      </c>
      <c r="B103" s="2" t="s">
        <v>34</v>
      </c>
      <c r="C103" s="2" t="s">
        <v>131</v>
      </c>
      <c r="D103" s="2" t="s">
        <v>49</v>
      </c>
      <c r="E103" s="2" t="s">
        <v>79</v>
      </c>
      <c r="F103" s="2" t="s">
        <v>89</v>
      </c>
      <c r="G103" s="3" t="s">
        <v>96</v>
      </c>
      <c r="H103" s="2" t="s">
        <v>81</v>
      </c>
      <c r="I103" s="2">
        <v>1</v>
      </c>
      <c r="J103" s="2">
        <v>0</v>
      </c>
      <c r="K103" s="2">
        <v>2</v>
      </c>
      <c r="L103" s="2">
        <f t="shared" si="1"/>
        <v>3</v>
      </c>
      <c r="M103" s="2" t="str">
        <f>IF(COUNTIF(historically_strong_teams!$A$1:$A$25, B103)&gt;0,"Yes", "No")</f>
        <v>No</v>
      </c>
    </row>
    <row r="104" spans="1:13" x14ac:dyDescent="0.2">
      <c r="A104" s="2">
        <v>2022</v>
      </c>
      <c r="B104" s="2" t="s">
        <v>18</v>
      </c>
      <c r="C104" s="2" t="s">
        <v>193</v>
      </c>
      <c r="D104" s="2" t="s">
        <v>18</v>
      </c>
      <c r="E104" s="2" t="s">
        <v>82</v>
      </c>
      <c r="F104" s="2" t="s">
        <v>89</v>
      </c>
      <c r="G104" s="3" t="s">
        <v>209</v>
      </c>
      <c r="H104" s="2" t="s">
        <v>83</v>
      </c>
      <c r="I104" s="2">
        <v>1</v>
      </c>
      <c r="J104" s="2">
        <v>2</v>
      </c>
      <c r="K104" s="2">
        <v>0</v>
      </c>
      <c r="L104" s="2">
        <f t="shared" si="1"/>
        <v>5</v>
      </c>
      <c r="M104" s="2" t="str">
        <f>IF(COUNTIF(historically_strong_teams!$A$1:$A$25, B104)&gt;0,"Yes", "No")</f>
        <v>Yes</v>
      </c>
    </row>
    <row r="105" spans="1:13" x14ac:dyDescent="0.2">
      <c r="A105" s="2">
        <v>2022</v>
      </c>
      <c r="B105" s="2" t="s">
        <v>68</v>
      </c>
      <c r="C105" s="2" t="s">
        <v>194</v>
      </c>
      <c r="D105" s="2" t="s">
        <v>68</v>
      </c>
      <c r="E105" s="2" t="s">
        <v>82</v>
      </c>
      <c r="F105" s="2" t="s">
        <v>89</v>
      </c>
      <c r="G105" s="3" t="s">
        <v>87</v>
      </c>
      <c r="H105" s="2" t="s">
        <v>81</v>
      </c>
      <c r="I105" s="2">
        <v>0</v>
      </c>
      <c r="J105" s="2">
        <v>1</v>
      </c>
      <c r="K105" s="2">
        <v>2</v>
      </c>
      <c r="L105" s="2">
        <f t="shared" si="1"/>
        <v>1</v>
      </c>
      <c r="M105" s="2" t="str">
        <f>IF(COUNTIF(historically_strong_teams!$A$1:$A$25, B105)&gt;0,"Yes", "No")</f>
        <v>No</v>
      </c>
    </row>
    <row r="106" spans="1:13" x14ac:dyDescent="0.2">
      <c r="A106" s="2">
        <v>2022</v>
      </c>
      <c r="B106" s="2" t="s">
        <v>4</v>
      </c>
      <c r="C106" s="2" t="s">
        <v>6</v>
      </c>
      <c r="D106" s="2" t="s">
        <v>4</v>
      </c>
      <c r="E106" s="2" t="s">
        <v>82</v>
      </c>
      <c r="F106" s="2" t="s">
        <v>98</v>
      </c>
      <c r="G106" s="3" t="s">
        <v>106</v>
      </c>
      <c r="H106" s="2" t="s">
        <v>134</v>
      </c>
      <c r="I106" s="2">
        <v>2</v>
      </c>
      <c r="J106" s="2">
        <v>0</v>
      </c>
      <c r="K106" s="2">
        <v>1</v>
      </c>
      <c r="L106" s="2">
        <f t="shared" si="1"/>
        <v>6</v>
      </c>
      <c r="M106" s="2" t="str">
        <f>IF(COUNTIF(historically_strong_teams!$A$1:$A$25, B106)&gt;0,"Yes", "No")</f>
        <v>Yes</v>
      </c>
    </row>
    <row r="107" spans="1:13" x14ac:dyDescent="0.2">
      <c r="A107" s="2">
        <v>2022</v>
      </c>
      <c r="B107" s="2" t="s">
        <v>52</v>
      </c>
      <c r="C107" s="2" t="s">
        <v>53</v>
      </c>
      <c r="D107" s="2" t="s">
        <v>30</v>
      </c>
      <c r="E107" s="2" t="s">
        <v>79</v>
      </c>
      <c r="F107" s="2" t="s">
        <v>98</v>
      </c>
      <c r="G107" s="3" t="s">
        <v>96</v>
      </c>
      <c r="H107" s="2" t="s">
        <v>81</v>
      </c>
      <c r="I107" s="2">
        <v>1</v>
      </c>
      <c r="J107" s="2">
        <v>0</v>
      </c>
      <c r="K107" s="2">
        <v>2</v>
      </c>
      <c r="L107" s="2">
        <f t="shared" si="1"/>
        <v>3</v>
      </c>
      <c r="M107" s="2" t="str">
        <f>IF(COUNTIF(historically_strong_teams!$A$1:$A$25, B107)&gt;0,"Yes", "No")</f>
        <v>No</v>
      </c>
    </row>
    <row r="108" spans="1:13" x14ac:dyDescent="0.2">
      <c r="A108" s="2">
        <v>2022</v>
      </c>
      <c r="B108" s="2" t="s">
        <v>37</v>
      </c>
      <c r="C108" s="2" t="s">
        <v>120</v>
      </c>
      <c r="D108" s="2" t="s">
        <v>4</v>
      </c>
      <c r="E108" s="2" t="s">
        <v>79</v>
      </c>
      <c r="F108" s="2" t="s">
        <v>98</v>
      </c>
      <c r="G108" s="3" t="s">
        <v>207</v>
      </c>
      <c r="H108" s="2" t="s">
        <v>81</v>
      </c>
      <c r="I108" s="2">
        <v>1</v>
      </c>
      <c r="J108" s="2">
        <v>1</v>
      </c>
      <c r="K108" s="2">
        <v>1</v>
      </c>
      <c r="L108" s="2">
        <f t="shared" si="1"/>
        <v>4</v>
      </c>
      <c r="M108" s="2" t="str">
        <f>IF(COUNTIF(historically_strong_teams!$A$1:$A$25, B108)&gt;0,"Yes", "No")</f>
        <v>Yes</v>
      </c>
    </row>
    <row r="109" spans="1:13" x14ac:dyDescent="0.2">
      <c r="A109" s="2">
        <v>2022</v>
      </c>
      <c r="B109" s="2" t="s">
        <v>48</v>
      </c>
      <c r="C109" s="2" t="s">
        <v>195</v>
      </c>
      <c r="D109" s="2" t="s">
        <v>48</v>
      </c>
      <c r="E109" s="2" t="s">
        <v>82</v>
      </c>
      <c r="F109" s="2" t="s">
        <v>98</v>
      </c>
      <c r="G109" s="3" t="s">
        <v>207</v>
      </c>
      <c r="H109" s="2" t="s">
        <v>83</v>
      </c>
      <c r="I109" s="2">
        <v>1</v>
      </c>
      <c r="J109" s="2">
        <v>1</v>
      </c>
      <c r="K109" s="2">
        <v>1</v>
      </c>
      <c r="L109" s="2">
        <f t="shared" si="1"/>
        <v>4</v>
      </c>
      <c r="M109" s="2" t="str">
        <f>IF(COUNTIF(historically_strong_teams!$A$1:$A$25, B109)&gt;0,"Yes", "No")</f>
        <v>Yes</v>
      </c>
    </row>
    <row r="110" spans="1:13" x14ac:dyDescent="0.2">
      <c r="A110" s="2">
        <v>2022</v>
      </c>
      <c r="B110" s="2" t="s">
        <v>30</v>
      </c>
      <c r="C110" s="2" t="s">
        <v>31</v>
      </c>
      <c r="D110" s="2" t="s">
        <v>30</v>
      </c>
      <c r="E110" s="2" t="s">
        <v>82</v>
      </c>
      <c r="F110" s="2" t="s">
        <v>105</v>
      </c>
      <c r="G110" s="3" t="s">
        <v>106</v>
      </c>
      <c r="H110" s="2" t="s">
        <v>112</v>
      </c>
      <c r="I110" s="2">
        <v>2</v>
      </c>
      <c r="J110" s="2">
        <v>0</v>
      </c>
      <c r="K110" s="2">
        <v>1</v>
      </c>
      <c r="L110" s="2">
        <f t="shared" si="1"/>
        <v>6</v>
      </c>
      <c r="M110" s="2" t="str">
        <f>IF(COUNTIF(historically_strong_teams!$A$1:$A$25, B110)&gt;0,"Yes", "No")</f>
        <v>Yes</v>
      </c>
    </row>
    <row r="111" spans="1:13" x14ac:dyDescent="0.2">
      <c r="A111" s="2">
        <v>2022</v>
      </c>
      <c r="B111" s="2" t="s">
        <v>7</v>
      </c>
      <c r="C111" s="2" t="s">
        <v>9</v>
      </c>
      <c r="D111" s="2" t="s">
        <v>7</v>
      </c>
      <c r="E111" s="2" t="s">
        <v>82</v>
      </c>
      <c r="F111" s="2" t="s">
        <v>105</v>
      </c>
      <c r="G111" s="3" t="s">
        <v>106</v>
      </c>
      <c r="H111" s="2" t="s">
        <v>83</v>
      </c>
      <c r="I111" s="2">
        <v>2</v>
      </c>
      <c r="J111" s="2">
        <v>0</v>
      </c>
      <c r="K111" s="2">
        <v>1</v>
      </c>
      <c r="L111" s="2">
        <f t="shared" si="1"/>
        <v>6</v>
      </c>
      <c r="M111" s="2" t="str">
        <f>IF(COUNTIF(historically_strong_teams!$A$1:$A$25, B111)&gt;0,"Yes", "No")</f>
        <v>No</v>
      </c>
    </row>
    <row r="112" spans="1:13" x14ac:dyDescent="0.2">
      <c r="A112" s="2">
        <v>2022</v>
      </c>
      <c r="B112" s="2" t="s">
        <v>25</v>
      </c>
      <c r="C112" s="2" t="s">
        <v>196</v>
      </c>
      <c r="D112" s="2" t="s">
        <v>25</v>
      </c>
      <c r="E112" s="2" t="s">
        <v>82</v>
      </c>
      <c r="F112" s="2" t="s">
        <v>105</v>
      </c>
      <c r="G112" s="3" t="s">
        <v>87</v>
      </c>
      <c r="H112" s="2" t="s">
        <v>81</v>
      </c>
      <c r="I112" s="2">
        <v>0</v>
      </c>
      <c r="J112" s="2">
        <v>1</v>
      </c>
      <c r="K112" s="2">
        <v>2</v>
      </c>
      <c r="L112" s="2">
        <f t="shared" si="1"/>
        <v>1</v>
      </c>
      <c r="M112" s="2" t="str">
        <f>IF(COUNTIF(historically_strong_teams!$A$1:$A$25, B112)&gt;0,"Yes", "No")</f>
        <v>Yes</v>
      </c>
    </row>
    <row r="113" spans="1:13" x14ac:dyDescent="0.2">
      <c r="A113" s="2">
        <v>2022</v>
      </c>
      <c r="B113" s="2" t="s">
        <v>62</v>
      </c>
      <c r="C113" s="2" t="s">
        <v>197</v>
      </c>
      <c r="D113" s="2" t="s">
        <v>62</v>
      </c>
      <c r="E113" s="2" t="s">
        <v>82</v>
      </c>
      <c r="F113" s="2" t="s">
        <v>105</v>
      </c>
      <c r="G113" s="3" t="s">
        <v>207</v>
      </c>
      <c r="H113" s="2" t="s">
        <v>81</v>
      </c>
      <c r="I113" s="2">
        <v>1</v>
      </c>
      <c r="J113" s="2">
        <v>1</v>
      </c>
      <c r="K113" s="2">
        <v>1</v>
      </c>
      <c r="L113" s="2">
        <f t="shared" si="1"/>
        <v>4</v>
      </c>
      <c r="M113" s="2" t="str">
        <f>IF(COUNTIF(historically_strong_teams!$A$1:$A$25, B113)&gt;0,"Yes", "No")</f>
        <v>No</v>
      </c>
    </row>
    <row r="114" spans="1:13" x14ac:dyDescent="0.2">
      <c r="A114" s="2">
        <v>2022</v>
      </c>
      <c r="B114" s="2" t="s">
        <v>51</v>
      </c>
      <c r="C114" s="2" t="s">
        <v>198</v>
      </c>
      <c r="D114" s="2" t="s">
        <v>51</v>
      </c>
      <c r="E114" s="2" t="s">
        <v>82</v>
      </c>
      <c r="F114" s="2" t="s">
        <v>111</v>
      </c>
      <c r="G114" s="3" t="s">
        <v>207</v>
      </c>
      <c r="H114" s="2" t="s">
        <v>83</v>
      </c>
      <c r="I114" s="2">
        <v>1</v>
      </c>
      <c r="J114" s="2">
        <v>1</v>
      </c>
      <c r="K114" s="2">
        <v>1</v>
      </c>
      <c r="L114" s="2">
        <f t="shared" si="1"/>
        <v>4</v>
      </c>
      <c r="M114" s="2" t="str">
        <f>IF(COUNTIF(historically_strong_teams!$A$1:$A$25, B114)&gt;0,"Yes", "No")</f>
        <v>Yes</v>
      </c>
    </row>
    <row r="115" spans="1:13" x14ac:dyDescent="0.2">
      <c r="A115" s="2">
        <v>2022</v>
      </c>
      <c r="B115" s="2" t="s">
        <v>21</v>
      </c>
      <c r="C115" s="2" t="s">
        <v>155</v>
      </c>
      <c r="D115" s="2" t="s">
        <v>138</v>
      </c>
      <c r="E115" s="2" t="s">
        <v>79</v>
      </c>
      <c r="F115" s="2" t="s">
        <v>111</v>
      </c>
      <c r="G115" s="3" t="s">
        <v>96</v>
      </c>
      <c r="H115" s="2" t="s">
        <v>81</v>
      </c>
      <c r="I115" s="2">
        <v>1</v>
      </c>
      <c r="J115" s="2">
        <v>0</v>
      </c>
      <c r="K115" s="2">
        <v>2</v>
      </c>
      <c r="L115" s="2">
        <f t="shared" si="1"/>
        <v>3</v>
      </c>
      <c r="M115" s="2" t="str">
        <f>IF(COUNTIF(historically_strong_teams!$A$1:$A$25, B115)&gt;0,"Yes", "No")</f>
        <v>No</v>
      </c>
    </row>
    <row r="116" spans="1:13" x14ac:dyDescent="0.2">
      <c r="A116" s="2">
        <v>2022</v>
      </c>
      <c r="B116" s="2" t="s">
        <v>32</v>
      </c>
      <c r="C116" s="2" t="s">
        <v>199</v>
      </c>
      <c r="D116" s="2" t="s">
        <v>32</v>
      </c>
      <c r="E116" s="2" t="s">
        <v>82</v>
      </c>
      <c r="F116" s="2" t="s">
        <v>111</v>
      </c>
      <c r="G116" s="3" t="s">
        <v>207</v>
      </c>
      <c r="H116" s="2" t="s">
        <v>81</v>
      </c>
      <c r="I116" s="2">
        <v>1</v>
      </c>
      <c r="J116" s="2">
        <v>1</v>
      </c>
      <c r="K116" s="2">
        <v>1</v>
      </c>
      <c r="L116" s="2">
        <f t="shared" si="1"/>
        <v>4</v>
      </c>
      <c r="M116" s="2" t="str">
        <f>IF(COUNTIF(historically_strong_teams!$A$1:$A$25, B116)&gt;0,"Yes", "No")</f>
        <v>Yes</v>
      </c>
    </row>
    <row r="117" spans="1:13" x14ac:dyDescent="0.2">
      <c r="A117" s="2">
        <v>2022</v>
      </c>
      <c r="B117" s="2" t="s">
        <v>36</v>
      </c>
      <c r="C117" s="2" t="s">
        <v>200</v>
      </c>
      <c r="D117" s="2" t="s">
        <v>36</v>
      </c>
      <c r="E117" s="2" t="s">
        <v>82</v>
      </c>
      <c r="F117" s="2" t="s">
        <v>111</v>
      </c>
      <c r="G117" s="3" t="s">
        <v>106</v>
      </c>
      <c r="H117" s="2" t="s">
        <v>83</v>
      </c>
      <c r="I117" s="2">
        <v>2</v>
      </c>
      <c r="J117" s="2">
        <v>0</v>
      </c>
      <c r="K117" s="2">
        <v>1</v>
      </c>
      <c r="L117" s="2">
        <f t="shared" si="1"/>
        <v>6</v>
      </c>
      <c r="M117" s="2" t="str">
        <f>IF(COUNTIF(historically_strong_teams!$A$1:$A$25, B117)&gt;0,"Yes", "No")</f>
        <v>Yes</v>
      </c>
    </row>
    <row r="118" spans="1:13" x14ac:dyDescent="0.2">
      <c r="A118" s="2">
        <v>2022</v>
      </c>
      <c r="B118" s="2" t="s">
        <v>10</v>
      </c>
      <c r="C118" s="2" t="s">
        <v>50</v>
      </c>
      <c r="D118" s="2" t="s">
        <v>51</v>
      </c>
      <c r="E118" s="2" t="s">
        <v>79</v>
      </c>
      <c r="F118" s="2" t="s">
        <v>118</v>
      </c>
      <c r="G118" s="3" t="s">
        <v>207</v>
      </c>
      <c r="H118" s="2" t="s">
        <v>81</v>
      </c>
      <c r="I118" s="2">
        <v>1</v>
      </c>
      <c r="J118" s="2">
        <v>1</v>
      </c>
      <c r="K118" s="2">
        <v>1</v>
      </c>
      <c r="L118" s="2">
        <f t="shared" si="1"/>
        <v>4</v>
      </c>
      <c r="M118" s="2" t="str">
        <f>IF(COUNTIF(historically_strong_teams!$A$1:$A$25, B118)&gt;0,"Yes", "No")</f>
        <v>Yes</v>
      </c>
    </row>
    <row r="119" spans="1:13" x14ac:dyDescent="0.2">
      <c r="A119" s="2">
        <v>2022</v>
      </c>
      <c r="B119" s="2" t="s">
        <v>15</v>
      </c>
      <c r="C119" s="2" t="s">
        <v>201</v>
      </c>
      <c r="D119" s="2" t="s">
        <v>29</v>
      </c>
      <c r="E119" s="2" t="s">
        <v>79</v>
      </c>
      <c r="F119" s="2" t="s">
        <v>118</v>
      </c>
      <c r="G119" s="3" t="s">
        <v>116</v>
      </c>
      <c r="H119" s="2" t="s">
        <v>81</v>
      </c>
      <c r="I119" s="2">
        <v>0</v>
      </c>
      <c r="J119" s="2">
        <v>0</v>
      </c>
      <c r="K119" s="2">
        <v>3</v>
      </c>
      <c r="L119" s="2">
        <f t="shared" si="1"/>
        <v>0</v>
      </c>
      <c r="M119" s="2" t="str">
        <f>IF(COUNTIF(historically_strong_teams!$A$1:$A$25, B119)&gt;0,"Yes", "No")</f>
        <v>No</v>
      </c>
    </row>
    <row r="120" spans="1:13" x14ac:dyDescent="0.2">
      <c r="A120" s="2">
        <v>2022</v>
      </c>
      <c r="B120" s="2" t="s">
        <v>39</v>
      </c>
      <c r="C120" s="2" t="s">
        <v>40</v>
      </c>
      <c r="D120" s="2" t="s">
        <v>39</v>
      </c>
      <c r="E120" s="2" t="s">
        <v>82</v>
      </c>
      <c r="F120" s="2" t="s">
        <v>118</v>
      </c>
      <c r="G120" s="3" t="s">
        <v>208</v>
      </c>
      <c r="H120" s="2" t="s">
        <v>85</v>
      </c>
      <c r="I120" s="2">
        <v>2</v>
      </c>
      <c r="J120" s="2">
        <v>1</v>
      </c>
      <c r="K120" s="2">
        <v>0</v>
      </c>
      <c r="L120" s="2">
        <f t="shared" si="1"/>
        <v>7</v>
      </c>
      <c r="M120" s="2" t="str">
        <f>IF(COUNTIF(historically_strong_teams!$A$1:$A$25, B120)&gt;0,"Yes", "No")</f>
        <v>Yes</v>
      </c>
    </row>
    <row r="121" spans="1:13" x14ac:dyDescent="0.2">
      <c r="A121" s="2">
        <v>2022</v>
      </c>
      <c r="B121" s="2" t="s">
        <v>22</v>
      </c>
      <c r="C121" s="2" t="s">
        <v>23</v>
      </c>
      <c r="D121" s="2" t="s">
        <v>22</v>
      </c>
      <c r="E121" s="2" t="s">
        <v>82</v>
      </c>
      <c r="F121" s="2" t="s">
        <v>118</v>
      </c>
      <c r="G121" s="3" t="s">
        <v>209</v>
      </c>
      <c r="H121" s="2" t="s">
        <v>85</v>
      </c>
      <c r="I121" s="2">
        <v>1</v>
      </c>
      <c r="J121" s="2">
        <v>2</v>
      </c>
      <c r="K121" s="2">
        <v>0</v>
      </c>
      <c r="L121" s="2">
        <f t="shared" si="1"/>
        <v>5</v>
      </c>
      <c r="M121" s="2" t="str">
        <f>IF(COUNTIF(historically_strong_teams!$A$1:$A$25, B121)&gt;0,"Yes", "No")</f>
        <v>Yes</v>
      </c>
    </row>
    <row r="122" spans="1:13" x14ac:dyDescent="0.2">
      <c r="A122" s="2">
        <v>2022</v>
      </c>
      <c r="B122" s="2" t="s">
        <v>12</v>
      </c>
      <c r="C122" s="2" t="s">
        <v>177</v>
      </c>
      <c r="D122" s="2" t="s">
        <v>12</v>
      </c>
      <c r="E122" s="2" t="s">
        <v>82</v>
      </c>
      <c r="F122" s="2" t="s">
        <v>126</v>
      </c>
      <c r="G122" s="3" t="s">
        <v>106</v>
      </c>
      <c r="H122" s="2" t="s">
        <v>91</v>
      </c>
      <c r="I122" s="2">
        <v>2</v>
      </c>
      <c r="J122" s="2">
        <v>0</v>
      </c>
      <c r="K122" s="2">
        <v>1</v>
      </c>
      <c r="L122" s="2">
        <f t="shared" si="1"/>
        <v>6</v>
      </c>
      <c r="M122" s="2" t="str">
        <f>IF(COUNTIF(historically_strong_teams!$A$1:$A$25, B122)&gt;0,"Yes", "No")</f>
        <v>Yes</v>
      </c>
    </row>
    <row r="123" spans="1:13" x14ac:dyDescent="0.2">
      <c r="A123" s="2">
        <v>2022</v>
      </c>
      <c r="B123" s="2" t="s">
        <v>57</v>
      </c>
      <c r="C123" s="2" t="s">
        <v>202</v>
      </c>
      <c r="D123" s="2" t="s">
        <v>57</v>
      </c>
      <c r="E123" s="2" t="s">
        <v>82</v>
      </c>
      <c r="F123" s="2" t="s">
        <v>126</v>
      </c>
      <c r="G123" s="3" t="s">
        <v>87</v>
      </c>
      <c r="H123" s="2" t="s">
        <v>81</v>
      </c>
      <c r="I123" s="2">
        <v>0</v>
      </c>
      <c r="J123" s="2">
        <v>1</v>
      </c>
      <c r="K123" s="2">
        <v>2</v>
      </c>
      <c r="L123" s="2">
        <f t="shared" si="1"/>
        <v>1</v>
      </c>
      <c r="M123" s="2" t="str">
        <f>IF(COUNTIF(historically_strong_teams!$A$1:$A$25, B123)&gt;0,"Yes", "No")</f>
        <v>No</v>
      </c>
    </row>
    <row r="124" spans="1:13" x14ac:dyDescent="0.2">
      <c r="A124" s="2">
        <v>2022</v>
      </c>
      <c r="B124" s="2" t="s">
        <v>61</v>
      </c>
      <c r="C124" s="2" t="s">
        <v>203</v>
      </c>
      <c r="D124" s="2" t="s">
        <v>61</v>
      </c>
      <c r="E124" s="2" t="s">
        <v>82</v>
      </c>
      <c r="F124" s="2" t="s">
        <v>126</v>
      </c>
      <c r="G124" s="3" t="s">
        <v>106</v>
      </c>
      <c r="H124" s="2" t="s">
        <v>83</v>
      </c>
      <c r="I124" s="2">
        <v>2</v>
      </c>
      <c r="J124" s="2">
        <v>0</v>
      </c>
      <c r="K124" s="2">
        <v>1</v>
      </c>
      <c r="L124" s="2">
        <f t="shared" si="1"/>
        <v>6</v>
      </c>
      <c r="M124" s="2" t="str">
        <f>IF(COUNTIF(historically_strong_teams!$A$1:$A$25, B124)&gt;0,"Yes", "No")</f>
        <v>Yes</v>
      </c>
    </row>
    <row r="125" spans="1:13" x14ac:dyDescent="0.2">
      <c r="A125" s="2">
        <v>2022</v>
      </c>
      <c r="B125" s="2" t="s">
        <v>19</v>
      </c>
      <c r="C125" s="2" t="s">
        <v>204</v>
      </c>
      <c r="D125" s="2" t="s">
        <v>19</v>
      </c>
      <c r="E125" s="2" t="s">
        <v>82</v>
      </c>
      <c r="F125" s="2" t="s">
        <v>126</v>
      </c>
      <c r="G125" s="3" t="s">
        <v>207</v>
      </c>
      <c r="H125" s="2" t="s">
        <v>81</v>
      </c>
      <c r="I125" s="2">
        <v>1</v>
      </c>
      <c r="J125" s="2">
        <v>1</v>
      </c>
      <c r="K125" s="2">
        <v>1</v>
      </c>
      <c r="L125" s="2">
        <f t="shared" si="1"/>
        <v>4</v>
      </c>
      <c r="M125" s="2" t="str">
        <f>IF(COUNTIF(historically_strong_teams!$A$1:$A$25, B125)&gt;0,"Yes", "No")</f>
        <v>No</v>
      </c>
    </row>
    <row r="126" spans="1:13" x14ac:dyDescent="0.2">
      <c r="A126" s="2">
        <v>2022</v>
      </c>
      <c r="B126" s="2" t="s">
        <v>49</v>
      </c>
      <c r="C126" s="2" t="s">
        <v>149</v>
      </c>
      <c r="D126" s="2" t="s">
        <v>49</v>
      </c>
      <c r="E126" s="2" t="s">
        <v>82</v>
      </c>
      <c r="F126" s="2" t="s">
        <v>133</v>
      </c>
      <c r="G126" s="3" t="s">
        <v>106</v>
      </c>
      <c r="H126" s="2" t="s">
        <v>91</v>
      </c>
      <c r="I126" s="2">
        <v>2</v>
      </c>
      <c r="J126" s="2">
        <v>0</v>
      </c>
      <c r="K126" s="2">
        <v>1</v>
      </c>
      <c r="L126" s="2">
        <f t="shared" si="1"/>
        <v>6</v>
      </c>
      <c r="M126" s="2" t="str">
        <f>IF(COUNTIF(historically_strong_teams!$A$1:$A$25, B126)&gt;0,"Yes", "No")</f>
        <v>Yes</v>
      </c>
    </row>
    <row r="127" spans="1:13" x14ac:dyDescent="0.2">
      <c r="A127" s="2">
        <v>2022</v>
      </c>
      <c r="B127" s="2" t="s">
        <v>33</v>
      </c>
      <c r="C127" s="2" t="s">
        <v>205</v>
      </c>
      <c r="D127" s="2" t="s">
        <v>33</v>
      </c>
      <c r="E127" s="2" t="s">
        <v>82</v>
      </c>
      <c r="F127" s="2" t="s">
        <v>133</v>
      </c>
      <c r="G127" s="3" t="s">
        <v>96</v>
      </c>
      <c r="H127" s="2" t="s">
        <v>81</v>
      </c>
      <c r="I127" s="2">
        <v>1</v>
      </c>
      <c r="J127" s="2">
        <v>0</v>
      </c>
      <c r="K127" s="2">
        <v>2</v>
      </c>
      <c r="L127" s="2">
        <f t="shared" si="1"/>
        <v>3</v>
      </c>
      <c r="M127" s="2" t="str">
        <f>IF(COUNTIF(historically_strong_teams!$A$1:$A$25, B127)&gt;0,"Yes", "No")</f>
        <v>No</v>
      </c>
    </row>
    <row r="128" spans="1:13" x14ac:dyDescent="0.2">
      <c r="A128" s="2">
        <v>2022</v>
      </c>
      <c r="B128" s="2" t="s">
        <v>65</v>
      </c>
      <c r="C128" s="2" t="s">
        <v>206</v>
      </c>
      <c r="D128" s="2" t="s">
        <v>65</v>
      </c>
      <c r="E128" s="2" t="s">
        <v>82</v>
      </c>
      <c r="F128" s="2" t="s">
        <v>133</v>
      </c>
      <c r="G128" s="3" t="s">
        <v>207</v>
      </c>
      <c r="H128" s="2" t="s">
        <v>81</v>
      </c>
      <c r="I128" s="2">
        <v>1</v>
      </c>
      <c r="J128" s="2">
        <v>1</v>
      </c>
      <c r="K128" s="2">
        <v>1</v>
      </c>
      <c r="L128" s="2">
        <f t="shared" si="1"/>
        <v>4</v>
      </c>
      <c r="M128" s="2" t="str">
        <f>IF(COUNTIF(historically_strong_teams!$A$1:$A$25, B128)&gt;0,"Yes", "No")</f>
        <v>Yes</v>
      </c>
    </row>
    <row r="129" spans="1:13" x14ac:dyDescent="0.2">
      <c r="A129" s="2">
        <v>2022</v>
      </c>
      <c r="B129" s="2" t="s">
        <v>59</v>
      </c>
      <c r="C129" s="2" t="s">
        <v>160</v>
      </c>
      <c r="D129" s="2" t="s">
        <v>49</v>
      </c>
      <c r="E129" s="2" t="s">
        <v>79</v>
      </c>
      <c r="F129" s="2" t="s">
        <v>133</v>
      </c>
      <c r="G129" s="3" t="s">
        <v>207</v>
      </c>
      <c r="H129" s="2" t="s">
        <v>83</v>
      </c>
      <c r="I129" s="2">
        <v>1</v>
      </c>
      <c r="J129" s="2">
        <v>1</v>
      </c>
      <c r="K129" s="2">
        <v>1</v>
      </c>
      <c r="L129" s="2">
        <f t="shared" si="1"/>
        <v>4</v>
      </c>
      <c r="M129" s="2" t="str">
        <f>IF(COUNTIF(historically_strong_teams!$A$1:$A$25, B129)&gt;0,"Yes", "No")</f>
        <v>Yes</v>
      </c>
    </row>
  </sheetData>
  <autoFilter ref="A1:M129" xr:uid="{D5548FE0-6AD0-DA4D-9B64-AEF99A51A7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FFA8-95D2-6848-AA9E-E3C830EF695C}">
  <dimension ref="A1:F49"/>
  <sheetViews>
    <sheetView tabSelected="1" workbookViewId="0">
      <selection activeCell="C58" sqref="C58"/>
    </sheetView>
  </sheetViews>
  <sheetFormatPr baseColWidth="10" defaultRowHeight="16" x14ac:dyDescent="0.2"/>
  <cols>
    <col min="1" max="1" width="21.33203125" customWidth="1"/>
    <col min="2" max="2" width="12.5" bestFit="1" customWidth="1"/>
    <col min="3" max="3" width="19.5" bestFit="1" customWidth="1"/>
    <col min="4" max="4" width="18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210</v>
      </c>
      <c r="F1" t="s">
        <v>211</v>
      </c>
    </row>
    <row r="2" spans="1:6" x14ac:dyDescent="0.2">
      <c r="A2" t="s">
        <v>100</v>
      </c>
      <c r="B2" t="s">
        <v>20</v>
      </c>
      <c r="C2" t="s">
        <v>226</v>
      </c>
      <c r="D2" t="s">
        <v>61</v>
      </c>
      <c r="E2" t="s">
        <v>79</v>
      </c>
      <c r="F2" t="str">
        <f>IF(COUNTIF(historically_strong_teams!$A$1:$A$25, A2)&gt;0,"Yes", "No")</f>
        <v>No</v>
      </c>
    </row>
    <row r="3" spans="1:6" x14ac:dyDescent="0.2">
      <c r="A3" t="s">
        <v>4</v>
      </c>
      <c r="B3" t="s">
        <v>5</v>
      </c>
      <c r="C3" t="s">
        <v>6</v>
      </c>
      <c r="D3" t="s">
        <v>4</v>
      </c>
      <c r="E3" t="s">
        <v>82</v>
      </c>
      <c r="F3" t="str">
        <f>IF(COUNTIF(historically_strong_teams!$A$1:$A$25, A3)&gt;0,"Yes", "No")</f>
        <v>Yes</v>
      </c>
    </row>
    <row r="4" spans="1:6" x14ac:dyDescent="0.2">
      <c r="A4" t="s">
        <v>7</v>
      </c>
      <c r="B4" t="s">
        <v>8</v>
      </c>
      <c r="C4" t="s">
        <v>227</v>
      </c>
      <c r="D4" t="s">
        <v>7</v>
      </c>
      <c r="E4" t="s">
        <v>82</v>
      </c>
      <c r="F4" t="str">
        <f>IF(COUNTIF(historically_strong_teams!$A$1:$A$25, A4)&gt;0,"Yes", "No")</f>
        <v>No</v>
      </c>
    </row>
    <row r="5" spans="1:6" x14ac:dyDescent="0.2">
      <c r="A5" t="s">
        <v>228</v>
      </c>
      <c r="B5" t="s">
        <v>11</v>
      </c>
      <c r="C5" t="s">
        <v>229</v>
      </c>
      <c r="D5" t="s">
        <v>32</v>
      </c>
      <c r="E5" t="s">
        <v>79</v>
      </c>
      <c r="F5" t="str">
        <f>IF(COUNTIF(historically_strong_teams!$A$1:$A$25, A5)&gt;0,"Yes", "No")</f>
        <v>No</v>
      </c>
    </row>
    <row r="6" spans="1:6" x14ac:dyDescent="0.2">
      <c r="A6" t="s">
        <v>10</v>
      </c>
      <c r="B6" t="s">
        <v>11</v>
      </c>
      <c r="C6" t="s">
        <v>230</v>
      </c>
      <c r="D6" t="s">
        <v>30</v>
      </c>
      <c r="E6" t="s">
        <v>79</v>
      </c>
      <c r="F6" t="str">
        <f>IF(COUNTIF(historically_strong_teams!$A$1:$A$25, A6)&gt;0,"Yes", "No")</f>
        <v>Yes</v>
      </c>
    </row>
    <row r="7" spans="1:6" x14ac:dyDescent="0.2">
      <c r="A7" t="s">
        <v>231</v>
      </c>
      <c r="B7" t="s">
        <v>11</v>
      </c>
      <c r="C7" t="s">
        <v>232</v>
      </c>
      <c r="D7" t="s">
        <v>231</v>
      </c>
      <c r="E7" t="s">
        <v>82</v>
      </c>
      <c r="F7" t="str">
        <f>IF(COUNTIF(historically_strong_teams!$A$1:$A$25, A7)&gt;0,"Yes", "No")</f>
        <v>No</v>
      </c>
    </row>
    <row r="8" spans="1:6" x14ac:dyDescent="0.2">
      <c r="A8" t="s">
        <v>12</v>
      </c>
      <c r="B8" t="s">
        <v>5</v>
      </c>
      <c r="C8" t="s">
        <v>13</v>
      </c>
      <c r="D8" t="s">
        <v>14</v>
      </c>
      <c r="E8" t="s">
        <v>79</v>
      </c>
      <c r="F8" t="str">
        <f>IF(COUNTIF(historically_strong_teams!$A$1:$A$25, A8)&gt;0,"Yes", "No")</f>
        <v>Yes</v>
      </c>
    </row>
    <row r="9" spans="1:6" x14ac:dyDescent="0.2">
      <c r="A9" t="s">
        <v>15</v>
      </c>
      <c r="B9" t="s">
        <v>16</v>
      </c>
      <c r="C9" t="s">
        <v>17</v>
      </c>
      <c r="D9" t="s">
        <v>18</v>
      </c>
      <c r="E9" t="s">
        <v>79</v>
      </c>
      <c r="F9" t="str">
        <f>IF(COUNTIF(historically_strong_teams!$A$1:$A$25, A9)&gt;0,"Yes", "No")</f>
        <v>No</v>
      </c>
    </row>
    <row r="10" spans="1:6" x14ac:dyDescent="0.2">
      <c r="A10" t="s">
        <v>233</v>
      </c>
      <c r="B10" t="s">
        <v>20</v>
      </c>
      <c r="C10" t="s">
        <v>234</v>
      </c>
      <c r="D10" t="s">
        <v>233</v>
      </c>
      <c r="E10" t="s">
        <v>82</v>
      </c>
      <c r="F10" t="str">
        <f>IF(COUNTIF(historically_strong_teams!$A$1:$A$25, A10)&gt;0,"Yes", "No")</f>
        <v>No</v>
      </c>
    </row>
    <row r="11" spans="1:6" x14ac:dyDescent="0.2">
      <c r="A11" t="s">
        <v>138</v>
      </c>
      <c r="B11" t="s">
        <v>5</v>
      </c>
      <c r="C11" t="s">
        <v>252</v>
      </c>
      <c r="D11" t="s">
        <v>4</v>
      </c>
      <c r="E11" t="s">
        <v>79</v>
      </c>
      <c r="F11" t="str">
        <f>IF(COUNTIF(historically_strong_teams!$A$1:$A$25, A11)&gt;0,"Yes", "No")</f>
        <v>Yes</v>
      </c>
    </row>
    <row r="12" spans="1:6" x14ac:dyDescent="0.2">
      <c r="A12" t="s">
        <v>22</v>
      </c>
      <c r="B12" t="s">
        <v>11</v>
      </c>
      <c r="C12" t="s">
        <v>23</v>
      </c>
      <c r="D12" t="s">
        <v>22</v>
      </c>
      <c r="E12" t="s">
        <v>82</v>
      </c>
      <c r="F12" t="str">
        <f>IF(COUNTIF(historically_strong_teams!$A$1:$A$25, A12)&gt;0,"Yes", "No")</f>
        <v>Yes</v>
      </c>
    </row>
    <row r="13" spans="1:6" x14ac:dyDescent="0.2">
      <c r="A13" t="s">
        <v>290</v>
      </c>
      <c r="B13" t="s">
        <v>16</v>
      </c>
      <c r="C13" t="s">
        <v>288</v>
      </c>
      <c r="D13" t="s">
        <v>41</v>
      </c>
      <c r="E13" t="s">
        <v>79</v>
      </c>
      <c r="F13" t="str">
        <f>IF(COUNTIF(historically_strong_teams!$A$1:$A$25, A13)&gt;0,"Yes", "No")</f>
        <v>No</v>
      </c>
    </row>
    <row r="14" spans="1:6" x14ac:dyDescent="0.2">
      <c r="A14" t="s">
        <v>24</v>
      </c>
      <c r="B14" t="s">
        <v>11</v>
      </c>
      <c r="C14" t="s">
        <v>235</v>
      </c>
      <c r="D14" t="s">
        <v>24</v>
      </c>
      <c r="E14" t="s">
        <v>82</v>
      </c>
      <c r="F14" t="str">
        <f>IF(COUNTIF(historically_strong_teams!$A$1:$A$25, A14)&gt;0,"Yes", "No")</f>
        <v>No</v>
      </c>
    </row>
    <row r="15" spans="1:6" x14ac:dyDescent="0.2">
      <c r="A15" t="s">
        <v>26</v>
      </c>
      <c r="B15" t="s">
        <v>20</v>
      </c>
      <c r="C15" t="s">
        <v>253</v>
      </c>
      <c r="D15" t="s">
        <v>30</v>
      </c>
      <c r="E15" t="s">
        <v>79</v>
      </c>
      <c r="F15" t="str">
        <f>IF(COUNTIF(historically_strong_teams!$A$1:$A$25, A15)&gt;0,"Yes", "No")</f>
        <v>No</v>
      </c>
    </row>
    <row r="16" spans="1:6" x14ac:dyDescent="0.2">
      <c r="A16" t="s">
        <v>27</v>
      </c>
      <c r="B16" t="s">
        <v>5</v>
      </c>
      <c r="C16" t="s">
        <v>254</v>
      </c>
      <c r="D16" t="s">
        <v>4</v>
      </c>
      <c r="E16" t="s">
        <v>79</v>
      </c>
      <c r="F16" t="str">
        <f>IF(COUNTIF(historically_strong_teams!$A$1:$A$25, A16)&gt;0,"Yes", "No")</f>
        <v>No</v>
      </c>
    </row>
    <row r="17" spans="1:6" x14ac:dyDescent="0.2">
      <c r="A17" t="s">
        <v>28</v>
      </c>
      <c r="B17" t="s">
        <v>20</v>
      </c>
      <c r="C17" t="s">
        <v>236</v>
      </c>
      <c r="D17" t="s">
        <v>28</v>
      </c>
      <c r="E17" t="s">
        <v>82</v>
      </c>
      <c r="F17" t="str">
        <f>IF(COUNTIF(historically_strong_teams!$A$1:$A$25, A17)&gt;0,"Yes", "No")</f>
        <v>No</v>
      </c>
    </row>
    <row r="18" spans="1:6" x14ac:dyDescent="0.2">
      <c r="A18" t="s">
        <v>29</v>
      </c>
      <c r="B18" t="s">
        <v>11</v>
      </c>
      <c r="C18" t="s">
        <v>237</v>
      </c>
      <c r="D18" t="s">
        <v>32</v>
      </c>
      <c r="E18" t="s">
        <v>79</v>
      </c>
      <c r="F18" t="str">
        <f>IF(COUNTIF(historically_strong_teams!$A$1:$A$25, A18)&gt;0,"Yes", "No")</f>
        <v>Yes</v>
      </c>
    </row>
    <row r="19" spans="1:6" x14ac:dyDescent="0.2">
      <c r="A19" t="s">
        <v>30</v>
      </c>
      <c r="B19" t="s">
        <v>11</v>
      </c>
      <c r="C19" t="s">
        <v>31</v>
      </c>
      <c r="D19" t="s">
        <v>30</v>
      </c>
      <c r="E19" t="s">
        <v>82</v>
      </c>
      <c r="F19" t="str">
        <f>IF(COUNTIF(historically_strong_teams!$A$1:$A$25, A19)&gt;0,"Yes", "No")</f>
        <v>Yes</v>
      </c>
    </row>
    <row r="20" spans="1:6" x14ac:dyDescent="0.2">
      <c r="A20" t="s">
        <v>32</v>
      </c>
      <c r="B20" t="s">
        <v>11</v>
      </c>
      <c r="C20" t="s">
        <v>238</v>
      </c>
      <c r="D20" t="s">
        <v>32</v>
      </c>
      <c r="E20" t="s">
        <v>82</v>
      </c>
      <c r="F20" t="str">
        <f>IF(COUNTIF(historically_strong_teams!$A$1:$A$25, A20)&gt;0,"Yes", "No")</f>
        <v>Yes</v>
      </c>
    </row>
    <row r="21" spans="1:6" x14ac:dyDescent="0.2">
      <c r="A21" t="s">
        <v>33</v>
      </c>
      <c r="B21" t="s">
        <v>20</v>
      </c>
      <c r="C21" t="s">
        <v>131</v>
      </c>
      <c r="D21" t="s">
        <v>49</v>
      </c>
      <c r="E21" t="s">
        <v>79</v>
      </c>
      <c r="F21" t="str">
        <f>IF(COUNTIF(historically_strong_teams!$A$1:$A$25, A21)&gt;0,"Yes", "No")</f>
        <v>No</v>
      </c>
    </row>
    <row r="22" spans="1:6" x14ac:dyDescent="0.2">
      <c r="A22" t="s">
        <v>239</v>
      </c>
      <c r="B22" t="s">
        <v>16</v>
      </c>
      <c r="C22" t="s">
        <v>255</v>
      </c>
      <c r="D22" t="s">
        <v>30</v>
      </c>
      <c r="E22" t="s">
        <v>79</v>
      </c>
      <c r="F22" t="str">
        <f>IF(COUNTIF(historically_strong_teams!$A$1:$A$25, A22)&gt;0,"Yes", "No")</f>
        <v>No</v>
      </c>
    </row>
    <row r="23" spans="1:6" x14ac:dyDescent="0.2">
      <c r="A23" t="s">
        <v>34</v>
      </c>
      <c r="B23" t="s">
        <v>8</v>
      </c>
      <c r="C23" t="s">
        <v>240</v>
      </c>
      <c r="D23" t="s">
        <v>34</v>
      </c>
      <c r="E23" t="s">
        <v>82</v>
      </c>
      <c r="F23" t="str">
        <f>IF(COUNTIF(historically_strong_teams!$A$1:$A$25, A23)&gt;0,"Yes", "No")</f>
        <v>No</v>
      </c>
    </row>
    <row r="24" spans="1:6" x14ac:dyDescent="0.2">
      <c r="A24" t="s">
        <v>35</v>
      </c>
      <c r="B24" t="s">
        <v>8</v>
      </c>
      <c r="C24" t="s">
        <v>9</v>
      </c>
      <c r="D24" t="s">
        <v>7</v>
      </c>
      <c r="E24" t="s">
        <v>79</v>
      </c>
      <c r="F24" t="str">
        <f>IF(COUNTIF(historically_strong_teams!$A$1:$A$25, A24)&gt;0,"Yes", "No")</f>
        <v>No</v>
      </c>
    </row>
    <row r="25" spans="1:6" x14ac:dyDescent="0.2">
      <c r="A25" t="s">
        <v>129</v>
      </c>
      <c r="B25" t="s">
        <v>20</v>
      </c>
      <c r="C25" t="s">
        <v>256</v>
      </c>
      <c r="D25" t="s">
        <v>129</v>
      </c>
      <c r="E25" t="s">
        <v>82</v>
      </c>
      <c r="F25" t="str">
        <f>IF(COUNTIF(historically_strong_teams!$A$1:$A$25, A25)&gt;0,"Yes", "No")</f>
        <v>No</v>
      </c>
    </row>
    <row r="26" spans="1:6" x14ac:dyDescent="0.2">
      <c r="A26" t="s">
        <v>36</v>
      </c>
      <c r="B26" t="s">
        <v>8</v>
      </c>
      <c r="C26" t="s">
        <v>200</v>
      </c>
      <c r="D26" t="s">
        <v>36</v>
      </c>
      <c r="E26" t="s">
        <v>82</v>
      </c>
      <c r="F26" t="str">
        <f>IF(COUNTIF(historically_strong_teams!$A$1:$A$25, A26)&gt;0,"Yes", "No")</f>
        <v>Yes</v>
      </c>
    </row>
    <row r="27" spans="1:6" x14ac:dyDescent="0.2">
      <c r="A27" t="s">
        <v>241</v>
      </c>
      <c r="B27" t="s">
        <v>8</v>
      </c>
      <c r="C27" t="s">
        <v>242</v>
      </c>
      <c r="D27" t="s">
        <v>39</v>
      </c>
      <c r="E27" t="s">
        <v>79</v>
      </c>
      <c r="F27" t="str">
        <f>IF(COUNTIF(historically_strong_teams!$A$1:$A$25, A27)&gt;0,"Yes", "No")</f>
        <v>No</v>
      </c>
    </row>
    <row r="28" spans="1:6" x14ac:dyDescent="0.2">
      <c r="A28" t="s">
        <v>37</v>
      </c>
      <c r="B28" t="s">
        <v>16</v>
      </c>
      <c r="C28" t="s">
        <v>38</v>
      </c>
      <c r="D28" t="s">
        <v>37</v>
      </c>
      <c r="E28" t="s">
        <v>82</v>
      </c>
      <c r="F28" t="str">
        <f>IF(COUNTIF(historically_strong_teams!$A$1:$A$25, A28)&gt;0,"Yes", "No")</f>
        <v>Yes</v>
      </c>
    </row>
    <row r="29" spans="1:6" x14ac:dyDescent="0.2">
      <c r="A29" t="s">
        <v>39</v>
      </c>
      <c r="B29" t="s">
        <v>20</v>
      </c>
      <c r="C29" t="s">
        <v>289</v>
      </c>
      <c r="D29" t="s">
        <v>39</v>
      </c>
      <c r="E29" t="s">
        <v>82</v>
      </c>
      <c r="F29" t="str">
        <f>IF(COUNTIF(historically_strong_teams!$A$1:$A$25, A29)&gt;0,"Yes", "No")</f>
        <v>Yes</v>
      </c>
    </row>
    <row r="30" spans="1:6" x14ac:dyDescent="0.2">
      <c r="A30" t="s">
        <v>41</v>
      </c>
      <c r="B30" t="s">
        <v>11</v>
      </c>
      <c r="C30" t="s">
        <v>243</v>
      </c>
      <c r="D30" t="s">
        <v>41</v>
      </c>
      <c r="E30" t="s">
        <v>82</v>
      </c>
      <c r="F30" t="str">
        <f>IF(COUNTIF(historically_strong_teams!$A$1:$A$25, A30)&gt;0,"Yes", "No")</f>
        <v>Yes</v>
      </c>
    </row>
    <row r="31" spans="1:6" x14ac:dyDescent="0.2">
      <c r="A31" t="s">
        <v>42</v>
      </c>
      <c r="B31" t="s">
        <v>43</v>
      </c>
      <c r="C31" t="s">
        <v>244</v>
      </c>
      <c r="D31" t="s">
        <v>29</v>
      </c>
      <c r="E31" t="s">
        <v>79</v>
      </c>
      <c r="F31" t="str">
        <f>IF(COUNTIF(historically_strong_teams!$A$1:$A$25, A31)&gt;0,"Yes", "No")</f>
        <v>No</v>
      </c>
    </row>
    <row r="32" spans="1:6" x14ac:dyDescent="0.2">
      <c r="A32" t="s">
        <v>45</v>
      </c>
      <c r="B32" t="s">
        <v>11</v>
      </c>
      <c r="C32" t="s">
        <v>257</v>
      </c>
      <c r="D32" t="s">
        <v>45</v>
      </c>
      <c r="E32" t="s">
        <v>82</v>
      </c>
      <c r="F32" t="str">
        <f>IF(COUNTIF(historically_strong_teams!$A$1:$A$25, A32)&gt;0,"Yes", "No")</f>
        <v>No</v>
      </c>
    </row>
    <row r="33" spans="1:6" x14ac:dyDescent="0.2">
      <c r="A33" t="s">
        <v>46</v>
      </c>
      <c r="B33" t="s">
        <v>16</v>
      </c>
      <c r="C33" t="s">
        <v>245</v>
      </c>
      <c r="D33" t="s">
        <v>25</v>
      </c>
      <c r="E33" t="s">
        <v>79</v>
      </c>
      <c r="F33" t="str">
        <f>IF(COUNTIF(historically_strong_teams!$A$1:$A$25, A33)&gt;0,"Yes", "No")</f>
        <v>No</v>
      </c>
    </row>
    <row r="34" spans="1:6" x14ac:dyDescent="0.2">
      <c r="A34" t="s">
        <v>47</v>
      </c>
      <c r="B34" t="s">
        <v>5</v>
      </c>
      <c r="C34" t="s">
        <v>192</v>
      </c>
      <c r="D34" t="s">
        <v>4</v>
      </c>
      <c r="E34" t="s">
        <v>79</v>
      </c>
      <c r="F34" t="str">
        <f>IF(COUNTIF(historically_strong_teams!$A$1:$A$25, A34)&gt;0,"Yes", "No")</f>
        <v>No</v>
      </c>
    </row>
    <row r="35" spans="1:6" x14ac:dyDescent="0.2">
      <c r="A35" t="s">
        <v>49</v>
      </c>
      <c r="B35" t="s">
        <v>11</v>
      </c>
      <c r="C35" t="s">
        <v>50</v>
      </c>
      <c r="D35" t="s">
        <v>51</v>
      </c>
      <c r="E35" t="s">
        <v>79</v>
      </c>
      <c r="F35" t="str">
        <f>IF(COUNTIF(historically_strong_teams!$A$1:$A$25, A35)&gt;0,"Yes", "No")</f>
        <v>Yes</v>
      </c>
    </row>
    <row r="36" spans="1:6" x14ac:dyDescent="0.2">
      <c r="A36" t="s">
        <v>190</v>
      </c>
      <c r="B36" t="s">
        <v>8</v>
      </c>
      <c r="C36" t="s">
        <v>246</v>
      </c>
      <c r="D36" t="s">
        <v>51</v>
      </c>
      <c r="E36" t="s">
        <v>79</v>
      </c>
      <c r="F36" t="str">
        <f>IF(COUNTIF(historically_strong_teams!$A$1:$A$25, A36)&gt;0,"Yes", "No")</f>
        <v>No</v>
      </c>
    </row>
    <row r="37" spans="1:6" x14ac:dyDescent="0.2">
      <c r="A37" t="s">
        <v>52</v>
      </c>
      <c r="B37" t="s">
        <v>8</v>
      </c>
      <c r="C37" t="s">
        <v>53</v>
      </c>
      <c r="D37" t="s">
        <v>30</v>
      </c>
      <c r="E37" t="s">
        <v>79</v>
      </c>
      <c r="F37" t="str">
        <f>IF(COUNTIF(historically_strong_teams!$A$1:$A$25, A37)&gt;0,"Yes", "No")</f>
        <v>No</v>
      </c>
    </row>
    <row r="38" spans="1:6" x14ac:dyDescent="0.2">
      <c r="A38" t="s">
        <v>54</v>
      </c>
      <c r="B38" t="s">
        <v>11</v>
      </c>
      <c r="C38" t="s">
        <v>55</v>
      </c>
      <c r="D38" t="s">
        <v>54</v>
      </c>
      <c r="E38" t="s">
        <v>82</v>
      </c>
      <c r="F38" t="str">
        <f>IF(COUNTIF(historically_strong_teams!$A$1:$A$25, A38)&gt;0,"Yes", "No")</f>
        <v>No</v>
      </c>
    </row>
    <row r="39" spans="1:6" x14ac:dyDescent="0.2">
      <c r="A39" t="s">
        <v>56</v>
      </c>
      <c r="B39" t="s">
        <v>20</v>
      </c>
      <c r="C39" t="s">
        <v>247</v>
      </c>
      <c r="D39" t="s">
        <v>56</v>
      </c>
      <c r="E39" t="s">
        <v>82</v>
      </c>
      <c r="F39" t="str">
        <f>IF(COUNTIF(historically_strong_teams!$A$1:$A$25, A39)&gt;0,"Yes", "No")</f>
        <v>Yes</v>
      </c>
    </row>
    <row r="40" spans="1:6" x14ac:dyDescent="0.2">
      <c r="A40" t="s">
        <v>58</v>
      </c>
      <c r="B40" t="s">
        <v>20</v>
      </c>
      <c r="C40" t="s">
        <v>248</v>
      </c>
      <c r="D40" t="s">
        <v>10</v>
      </c>
      <c r="E40" t="s">
        <v>79</v>
      </c>
      <c r="F40" t="str">
        <f>IF(COUNTIF(historically_strong_teams!$A$1:$A$25, A40)&gt;0,"Yes", "No")</f>
        <v>No</v>
      </c>
    </row>
    <row r="41" spans="1:6" x14ac:dyDescent="0.2">
      <c r="A41" t="s">
        <v>59</v>
      </c>
      <c r="B41" t="s">
        <v>8</v>
      </c>
      <c r="C41" t="s">
        <v>166</v>
      </c>
      <c r="D41" t="s">
        <v>59</v>
      </c>
      <c r="E41" t="s">
        <v>82</v>
      </c>
      <c r="F41" t="str">
        <f>IF(COUNTIF(historically_strong_teams!$A$1:$A$25, A41)&gt;0,"Yes", "No")</f>
        <v>Yes</v>
      </c>
    </row>
    <row r="42" spans="1:6" x14ac:dyDescent="0.2">
      <c r="A42" t="s">
        <v>51</v>
      </c>
      <c r="B42" t="s">
        <v>11</v>
      </c>
      <c r="C42" t="s">
        <v>249</v>
      </c>
      <c r="D42" t="s">
        <v>51</v>
      </c>
      <c r="E42" t="s">
        <v>82</v>
      </c>
      <c r="F42" t="str">
        <f>IF(COUNTIF(historically_strong_teams!$A$1:$A$25, A42)&gt;0,"Yes", "No")</f>
        <v>Yes</v>
      </c>
    </row>
    <row r="43" spans="1:6" x14ac:dyDescent="0.2">
      <c r="A43" t="s">
        <v>60</v>
      </c>
      <c r="B43" t="s">
        <v>11</v>
      </c>
      <c r="C43" t="s">
        <v>250</v>
      </c>
      <c r="D43" t="s">
        <v>29</v>
      </c>
      <c r="E43" t="s">
        <v>79</v>
      </c>
      <c r="F43" t="str">
        <f>IF(COUNTIF(historically_strong_teams!$A$1:$A$25, A43)&gt;0,"Yes", "No")</f>
        <v>Yes</v>
      </c>
    </row>
    <row r="44" spans="1:6" x14ac:dyDescent="0.2">
      <c r="A44" t="s">
        <v>61</v>
      </c>
      <c r="B44" t="s">
        <v>11</v>
      </c>
      <c r="C44" t="s">
        <v>203</v>
      </c>
      <c r="D44" t="s">
        <v>61</v>
      </c>
      <c r="E44" t="s">
        <v>82</v>
      </c>
      <c r="F44" t="str">
        <f>IF(COUNTIF(historically_strong_teams!$A$1:$A$25, A44)&gt;0,"Yes", "No")</f>
        <v>Yes</v>
      </c>
    </row>
    <row r="45" spans="1:6" x14ac:dyDescent="0.2">
      <c r="A45" t="s">
        <v>62</v>
      </c>
      <c r="B45" t="s">
        <v>20</v>
      </c>
      <c r="C45" t="s">
        <v>150</v>
      </c>
      <c r="D45" t="s">
        <v>62</v>
      </c>
      <c r="E45" t="s">
        <v>82</v>
      </c>
      <c r="F45" t="str">
        <f>IF(COUNTIF(historically_strong_teams!$A$1:$A$25, A45)&gt;0,"Yes", "No")</f>
        <v>No</v>
      </c>
    </row>
    <row r="46" spans="1:6" x14ac:dyDescent="0.2">
      <c r="A46" t="s">
        <v>63</v>
      </c>
      <c r="B46" t="s">
        <v>11</v>
      </c>
      <c r="C46" t="s">
        <v>251</v>
      </c>
      <c r="D46" t="s">
        <v>14</v>
      </c>
      <c r="E46" t="s">
        <v>79</v>
      </c>
      <c r="F46" t="str">
        <f>IF(COUNTIF(historically_strong_teams!$A$1:$A$25, A46)&gt;0,"Yes", "No")</f>
        <v>No</v>
      </c>
    </row>
    <row r="47" spans="1:6" x14ac:dyDescent="0.2">
      <c r="A47" t="s">
        <v>18</v>
      </c>
      <c r="B47" t="s">
        <v>16</v>
      </c>
      <c r="C47" t="s">
        <v>64</v>
      </c>
      <c r="D47" t="s">
        <v>4</v>
      </c>
      <c r="E47" t="s">
        <v>79</v>
      </c>
      <c r="F47" t="str">
        <f>IF(COUNTIF(historically_strong_teams!$A$1:$A$25, A47)&gt;0,"Yes", "No")</f>
        <v>Yes</v>
      </c>
    </row>
    <row r="48" spans="1:6" x14ac:dyDescent="0.2">
      <c r="A48" t="s">
        <v>65</v>
      </c>
      <c r="B48" t="s">
        <v>5</v>
      </c>
      <c r="C48" t="s">
        <v>140</v>
      </c>
      <c r="D48" t="s">
        <v>4</v>
      </c>
      <c r="E48" t="s">
        <v>79</v>
      </c>
      <c r="F48" t="str">
        <f>IF(COUNTIF(historically_strong_teams!$A$1:$A$25, A48)&gt;0,"Yes", "No")</f>
        <v>Yes</v>
      </c>
    </row>
    <row r="49" spans="1:6" x14ac:dyDescent="0.2">
      <c r="A49" t="s">
        <v>66</v>
      </c>
      <c r="B49" t="s">
        <v>8</v>
      </c>
      <c r="C49" t="s">
        <v>67</v>
      </c>
      <c r="D49" t="s">
        <v>14</v>
      </c>
      <c r="E49" t="s">
        <v>79</v>
      </c>
      <c r="F49" t="str">
        <f>IF(COUNTIF(historically_strong_teams!$A$1:$A$25, A49)&gt;0,"Yes", "No")</f>
        <v>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C9B8-102E-BD43-BB6A-60FD22432537}">
  <dimension ref="A1:A25"/>
  <sheetViews>
    <sheetView workbookViewId="0">
      <selection activeCell="C7" sqref="C7"/>
    </sheetView>
  </sheetViews>
  <sheetFormatPr baseColWidth="10" defaultRowHeight="16" x14ac:dyDescent="0.2"/>
  <cols>
    <col min="1" max="1" width="12" bestFit="1" customWidth="1"/>
  </cols>
  <sheetData>
    <row r="1" spans="1:1" x14ac:dyDescent="0.2">
      <c r="A1" t="s">
        <v>4</v>
      </c>
    </row>
    <row r="2" spans="1:1" x14ac:dyDescent="0.2">
      <c r="A2" t="s">
        <v>12</v>
      </c>
    </row>
    <row r="3" spans="1:1" x14ac:dyDescent="0.2">
      <c r="A3" t="s">
        <v>30</v>
      </c>
    </row>
    <row r="4" spans="1:1" x14ac:dyDescent="0.2">
      <c r="A4" t="s">
        <v>32</v>
      </c>
    </row>
    <row r="5" spans="1:1" x14ac:dyDescent="0.2">
      <c r="A5" t="s">
        <v>51</v>
      </c>
    </row>
    <row r="6" spans="1:1" x14ac:dyDescent="0.2">
      <c r="A6" t="s">
        <v>14</v>
      </c>
    </row>
    <row r="7" spans="1:1" x14ac:dyDescent="0.2">
      <c r="A7" t="s">
        <v>41</v>
      </c>
    </row>
    <row r="8" spans="1:1" x14ac:dyDescent="0.2">
      <c r="A8" t="s">
        <v>29</v>
      </c>
    </row>
    <row r="9" spans="1:1" x14ac:dyDescent="0.2">
      <c r="A9" t="s">
        <v>49</v>
      </c>
    </row>
    <row r="10" spans="1:1" x14ac:dyDescent="0.2">
      <c r="A10" t="s">
        <v>10</v>
      </c>
    </row>
    <row r="11" spans="1:1" x14ac:dyDescent="0.2">
      <c r="A11" t="s">
        <v>22</v>
      </c>
    </row>
    <row r="12" spans="1:1" x14ac:dyDescent="0.2">
      <c r="A12" t="s">
        <v>65</v>
      </c>
    </row>
    <row r="13" spans="1:1" x14ac:dyDescent="0.2">
      <c r="A13" t="s">
        <v>138</v>
      </c>
    </row>
    <row r="14" spans="1:1" x14ac:dyDescent="0.2">
      <c r="A14" t="s">
        <v>37</v>
      </c>
    </row>
    <row r="15" spans="1:1" x14ac:dyDescent="0.2">
      <c r="A15" t="s">
        <v>18</v>
      </c>
    </row>
    <row r="16" spans="1:1" x14ac:dyDescent="0.2">
      <c r="A16" t="s">
        <v>61</v>
      </c>
    </row>
    <row r="17" spans="1:1" x14ac:dyDescent="0.2">
      <c r="A17" t="s">
        <v>25</v>
      </c>
    </row>
    <row r="18" spans="1:1" x14ac:dyDescent="0.2">
      <c r="A18" t="s">
        <v>60</v>
      </c>
    </row>
    <row r="19" spans="1:1" x14ac:dyDescent="0.2">
      <c r="A19" t="s">
        <v>48</v>
      </c>
    </row>
    <row r="20" spans="1:1" x14ac:dyDescent="0.2">
      <c r="A20" t="s">
        <v>139</v>
      </c>
    </row>
    <row r="21" spans="1:1" x14ac:dyDescent="0.2">
      <c r="A21" t="s">
        <v>36</v>
      </c>
    </row>
    <row r="22" spans="1:1" x14ac:dyDescent="0.2">
      <c r="A22" t="s">
        <v>59</v>
      </c>
    </row>
    <row r="23" spans="1:1" x14ac:dyDescent="0.2">
      <c r="A23" t="s">
        <v>56</v>
      </c>
    </row>
    <row r="24" spans="1:1" x14ac:dyDescent="0.2">
      <c r="A24" t="s">
        <v>39</v>
      </c>
    </row>
    <row r="25" spans="1:1" x14ac:dyDescent="0.2">
      <c r="A2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6D60-CBF2-824B-B053-ECE02752F4B1}">
  <dimension ref="A1:B7"/>
  <sheetViews>
    <sheetView workbookViewId="0">
      <selection activeCell="D16" sqref="D16"/>
    </sheetView>
  </sheetViews>
  <sheetFormatPr baseColWidth="10" defaultRowHeight="16" x14ac:dyDescent="0.2"/>
  <cols>
    <col min="1" max="1" width="14.6640625" customWidth="1"/>
  </cols>
  <sheetData>
    <row r="1" spans="1:2" x14ac:dyDescent="0.2">
      <c r="A1" t="s">
        <v>258</v>
      </c>
      <c r="B1" t="s">
        <v>259</v>
      </c>
    </row>
    <row r="2" spans="1:2" x14ac:dyDescent="0.2">
      <c r="A2" t="s">
        <v>81</v>
      </c>
      <c r="B2">
        <v>0</v>
      </c>
    </row>
    <row r="3" spans="1:2" x14ac:dyDescent="0.2">
      <c r="A3" t="s">
        <v>83</v>
      </c>
      <c r="B3">
        <v>1</v>
      </c>
    </row>
    <row r="4" spans="1:2" x14ac:dyDescent="0.2">
      <c r="A4" t="s">
        <v>91</v>
      </c>
      <c r="B4">
        <v>2</v>
      </c>
    </row>
    <row r="5" spans="1:2" x14ac:dyDescent="0.2">
      <c r="A5" t="s">
        <v>85</v>
      </c>
      <c r="B5">
        <v>3</v>
      </c>
    </row>
    <row r="6" spans="1:2" x14ac:dyDescent="0.2">
      <c r="A6" t="s">
        <v>112</v>
      </c>
      <c r="B6">
        <v>4</v>
      </c>
    </row>
    <row r="7" spans="1:2" x14ac:dyDescent="0.2">
      <c r="A7" t="s">
        <v>134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historical_summary</vt:lpstr>
      <vt:lpstr>2010-2022_team_coaches_records</vt:lpstr>
      <vt:lpstr>2026_team_coaches</vt:lpstr>
      <vt:lpstr>historically_strong_teams</vt:lpstr>
      <vt:lpstr>stage_scoring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Hayles</dc:creator>
  <cp:lastModifiedBy>Chris Hayles</cp:lastModifiedBy>
  <dcterms:created xsi:type="dcterms:W3CDTF">2026-04-03T20:56:41Z</dcterms:created>
  <dcterms:modified xsi:type="dcterms:W3CDTF">2026-04-17T03:29:12Z</dcterms:modified>
</cp:coreProperties>
</file>