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chris/claude-projects/worldcup2026-coachmchugh/"/>
    </mc:Choice>
  </mc:AlternateContent>
  <xr:revisionPtr revIDLastSave="0" documentId="13_ncr:1_{1FB52622-BF40-1E4F-9AA8-75CA2DCD9AA9}" xr6:coauthVersionLast="47" xr6:coauthVersionMax="47" xr10:uidLastSave="{00000000-0000-0000-0000-000000000000}"/>
  <bookViews>
    <workbookView xWindow="0" yWindow="760" windowWidth="34560" windowHeight="20320" xr2:uid="{00000000-000D-0000-FFFF-FFFF00000000}"/>
  </bookViews>
  <sheets>
    <sheet name="FIFA Rankings Apr 2026" sheetId="1" r:id="rId1"/>
  </sheets>
  <definedNames>
    <definedName name="_xlnm._FilterDatabase" localSheetId="0" hidden="1">'FIFA Rankings Apr 2026'!$A$3:$I$104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I21" i="1"/>
  <c r="I22" i="1"/>
  <c r="I24" i="1"/>
  <c r="I26" i="1"/>
  <c r="I27" i="1"/>
  <c r="I29" i="1"/>
  <c r="I33" i="1"/>
  <c r="I34" i="1"/>
  <c r="I36" i="1"/>
  <c r="I38" i="1"/>
  <c r="I39" i="1"/>
  <c r="I41" i="1"/>
  <c r="I45" i="1"/>
  <c r="I46" i="1"/>
  <c r="I48" i="1"/>
  <c r="I50" i="1"/>
  <c r="I51" i="1"/>
  <c r="I53" i="1"/>
  <c r="I57" i="1"/>
  <c r="I58" i="1"/>
  <c r="I60" i="1"/>
  <c r="I62" i="1"/>
  <c r="I63" i="1"/>
  <c r="I65" i="1"/>
  <c r="I69" i="1"/>
  <c r="I70" i="1"/>
  <c r="I72" i="1"/>
  <c r="I74" i="1"/>
  <c r="I75" i="1"/>
  <c r="I77" i="1"/>
  <c r="I81" i="1"/>
  <c r="I82" i="1"/>
  <c r="I84" i="1"/>
  <c r="I86" i="1"/>
  <c r="I87" i="1"/>
  <c r="I89" i="1"/>
  <c r="I93" i="1"/>
  <c r="I94" i="1"/>
  <c r="I96" i="1"/>
  <c r="I98" i="1"/>
  <c r="I99" i="1"/>
  <c r="I101" i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H18" i="1"/>
  <c r="I18" i="1" s="1"/>
  <c r="H19" i="1"/>
  <c r="I19" i="1" s="1"/>
  <c r="H20" i="1"/>
  <c r="I20" i="1" s="1"/>
  <c r="H21" i="1"/>
  <c r="H22" i="1"/>
  <c r="H23" i="1"/>
  <c r="I23" i="1" s="1"/>
  <c r="H24" i="1"/>
  <c r="H25" i="1"/>
  <c r="I25" i="1" s="1"/>
  <c r="H26" i="1"/>
  <c r="H27" i="1"/>
  <c r="H28" i="1"/>
  <c r="I28" i="1" s="1"/>
  <c r="H29" i="1"/>
  <c r="H30" i="1"/>
  <c r="I30" i="1" s="1"/>
  <c r="H31" i="1"/>
  <c r="I31" i="1" s="1"/>
  <c r="H32" i="1"/>
  <c r="I32" i="1" s="1"/>
  <c r="H33" i="1"/>
  <c r="H34" i="1"/>
  <c r="H35" i="1"/>
  <c r="I35" i="1" s="1"/>
  <c r="H36" i="1"/>
  <c r="H37" i="1"/>
  <c r="I37" i="1" s="1"/>
  <c r="H38" i="1"/>
  <c r="H39" i="1"/>
  <c r="H40" i="1"/>
  <c r="I40" i="1" s="1"/>
  <c r="H41" i="1"/>
  <c r="H42" i="1"/>
  <c r="I42" i="1" s="1"/>
  <c r="H43" i="1"/>
  <c r="I43" i="1" s="1"/>
  <c r="H44" i="1"/>
  <c r="I44" i="1" s="1"/>
  <c r="H45" i="1"/>
  <c r="H46" i="1"/>
  <c r="H47" i="1"/>
  <c r="I47" i="1" s="1"/>
  <c r="H48" i="1"/>
  <c r="H49" i="1"/>
  <c r="I49" i="1" s="1"/>
  <c r="H50" i="1"/>
  <c r="H51" i="1"/>
  <c r="H52" i="1"/>
  <c r="I52" i="1" s="1"/>
  <c r="H53" i="1"/>
  <c r="H54" i="1"/>
  <c r="I54" i="1" s="1"/>
  <c r="H55" i="1"/>
  <c r="I55" i="1" s="1"/>
  <c r="H56" i="1"/>
  <c r="I56" i="1" s="1"/>
  <c r="H57" i="1"/>
  <c r="H58" i="1"/>
  <c r="H59" i="1"/>
  <c r="I59" i="1" s="1"/>
  <c r="H60" i="1"/>
  <c r="H61" i="1"/>
  <c r="I61" i="1" s="1"/>
  <c r="H62" i="1"/>
  <c r="H63" i="1"/>
  <c r="H64" i="1"/>
  <c r="I64" i="1" s="1"/>
  <c r="H65" i="1"/>
  <c r="H66" i="1"/>
  <c r="I66" i="1" s="1"/>
  <c r="H67" i="1"/>
  <c r="I67" i="1" s="1"/>
  <c r="H68" i="1"/>
  <c r="I68" i="1" s="1"/>
  <c r="H69" i="1"/>
  <c r="H70" i="1"/>
  <c r="H71" i="1"/>
  <c r="I71" i="1" s="1"/>
  <c r="H72" i="1"/>
  <c r="H73" i="1"/>
  <c r="I73" i="1" s="1"/>
  <c r="H74" i="1"/>
  <c r="H75" i="1"/>
  <c r="H76" i="1"/>
  <c r="I76" i="1" s="1"/>
  <c r="H77" i="1"/>
  <c r="H78" i="1"/>
  <c r="I78" i="1" s="1"/>
  <c r="H79" i="1"/>
  <c r="I79" i="1" s="1"/>
  <c r="H80" i="1"/>
  <c r="I80" i="1" s="1"/>
  <c r="H81" i="1"/>
  <c r="H82" i="1"/>
  <c r="H83" i="1"/>
  <c r="I83" i="1" s="1"/>
  <c r="H84" i="1"/>
  <c r="H85" i="1"/>
  <c r="I85" i="1" s="1"/>
  <c r="H86" i="1"/>
  <c r="H87" i="1"/>
  <c r="H88" i="1"/>
  <c r="I88" i="1" s="1"/>
  <c r="H89" i="1"/>
  <c r="H90" i="1"/>
  <c r="I90" i="1" s="1"/>
  <c r="H91" i="1"/>
  <c r="I91" i="1" s="1"/>
  <c r="H92" i="1"/>
  <c r="I92" i="1" s="1"/>
  <c r="H93" i="1"/>
  <c r="H94" i="1"/>
  <c r="H95" i="1"/>
  <c r="I95" i="1" s="1"/>
  <c r="H96" i="1"/>
  <c r="H97" i="1"/>
  <c r="I97" i="1" s="1"/>
  <c r="H98" i="1"/>
  <c r="H99" i="1"/>
  <c r="H100" i="1"/>
  <c r="I100" i="1" s="1"/>
  <c r="H101" i="1"/>
  <c r="H102" i="1"/>
  <c r="I102" i="1" s="1"/>
  <c r="H103" i="1"/>
  <c r="I103" i="1" s="1"/>
  <c r="H4" i="1"/>
  <c r="I4" i="1" s="1"/>
</calcChain>
</file>

<file path=xl/sharedStrings.xml><?xml version="1.0" encoding="utf-8"?>
<sst xmlns="http://schemas.openxmlformats.org/spreadsheetml/2006/main" count="312" uniqueCount="129">
  <si>
    <t>FIFA/Coca-Cola Men's World Ranking — 1 April 2026</t>
  </si>
  <si>
    <t>Rank</t>
  </si>
  <si>
    <t>Team</t>
  </si>
  <si>
    <t>Points</t>
  </si>
  <si>
    <t>Change</t>
  </si>
  <si>
    <t>WC2026</t>
  </si>
  <si>
    <t>France</t>
  </si>
  <si>
    <t>+2</t>
  </si>
  <si>
    <t>Qualified</t>
  </si>
  <si>
    <t>Spain</t>
  </si>
  <si>
    <t>-1</t>
  </si>
  <si>
    <t>Argentina</t>
  </si>
  <si>
    <t>England</t>
  </si>
  <si>
    <t>—</t>
  </si>
  <si>
    <t>Portugal</t>
  </si>
  <si>
    <t>+1</t>
  </si>
  <si>
    <t>Brazil</t>
  </si>
  <si>
    <t>Netherlands</t>
  </si>
  <si>
    <t>Morocco</t>
  </si>
  <si>
    <t>Belgium</t>
  </si>
  <si>
    <t>Germany</t>
  </si>
  <si>
    <t>Croatia</t>
  </si>
  <si>
    <t>Colombia</t>
  </si>
  <si>
    <t>Senegal</t>
  </si>
  <si>
    <t>Italy</t>
  </si>
  <si>
    <t>Did not Qualify</t>
  </si>
  <si>
    <t>Mexico</t>
  </si>
  <si>
    <t>USA</t>
  </si>
  <si>
    <t>Uruguay</t>
  </si>
  <si>
    <t>Japan</t>
  </si>
  <si>
    <t>Switzerland</t>
  </si>
  <si>
    <t>IR Iran</t>
  </si>
  <si>
    <t>Denmark</t>
  </si>
  <si>
    <t>Türkiye</t>
  </si>
  <si>
    <t>+3</t>
  </si>
  <si>
    <t>Qualified via Playoff</t>
  </si>
  <si>
    <t>Ecuador</t>
  </si>
  <si>
    <t>Austria</t>
  </si>
  <si>
    <t>Korea Republic</t>
  </si>
  <si>
    <t>-3</t>
  </si>
  <si>
    <t>Nigeria</t>
  </si>
  <si>
    <t>Australia</t>
  </si>
  <si>
    <t>Algeria</t>
  </si>
  <si>
    <t>Egypt</t>
  </si>
  <si>
    <t>Canada</t>
  </si>
  <si>
    <t>Norway</t>
  </si>
  <si>
    <t>Ukraine</t>
  </si>
  <si>
    <t>-2</t>
  </si>
  <si>
    <t>Panama</t>
  </si>
  <si>
    <t>Côte d'Ivoire</t>
  </si>
  <si>
    <t>Poland</t>
  </si>
  <si>
    <t>Russia</t>
  </si>
  <si>
    <t>Sweden</t>
  </si>
  <si>
    <t>+5</t>
  </si>
  <si>
    <t>Czechia</t>
  </si>
  <si>
    <t>Wales</t>
  </si>
  <si>
    <t>-4</t>
  </si>
  <si>
    <t>Serbia</t>
  </si>
  <si>
    <t>Paraguay</t>
  </si>
  <si>
    <t>Hungary</t>
  </si>
  <si>
    <t>Scotland</t>
  </si>
  <si>
    <t>-5</t>
  </si>
  <si>
    <t>Tunisia</t>
  </si>
  <si>
    <t>Cameroon</t>
  </si>
  <si>
    <t>Congo DR</t>
  </si>
  <si>
    <t>Greece</t>
  </si>
  <si>
    <t>Slovakia</t>
  </si>
  <si>
    <t>Uzbekistan</t>
  </si>
  <si>
    <t>Venezuela</t>
  </si>
  <si>
    <t>Costa Rica</t>
  </si>
  <si>
    <t>Mali</t>
  </si>
  <si>
    <t>Peru</t>
  </si>
  <si>
    <t>Chile</t>
  </si>
  <si>
    <t>Qatar</t>
  </si>
  <si>
    <t>Romania</t>
  </si>
  <si>
    <t>-7</t>
  </si>
  <si>
    <t>Iraq</t>
  </si>
  <si>
    <t>Slovenia</t>
  </si>
  <si>
    <t>South Africa</t>
  </si>
  <si>
    <t>Rep. of Ireland</t>
  </si>
  <si>
    <t>Saudi Arabia</t>
  </si>
  <si>
    <t>Burkina Faso</t>
  </si>
  <si>
    <t>Bosnia &amp; Herzegovina</t>
  </si>
  <si>
    <t>+8</t>
  </si>
  <si>
    <t>Jordan</t>
  </si>
  <si>
    <t>Albania</t>
  </si>
  <si>
    <t>Honduras</t>
  </si>
  <si>
    <t>North Macedonia</t>
  </si>
  <si>
    <t>Cabo Verde</t>
  </si>
  <si>
    <t>UAE</t>
  </si>
  <si>
    <t>Northern Ireland</t>
  </si>
  <si>
    <t>Jamaica</t>
  </si>
  <si>
    <t>Georgia</t>
  </si>
  <si>
    <t>Ghana</t>
  </si>
  <si>
    <t>Iceland</t>
  </si>
  <si>
    <t>Finland</t>
  </si>
  <si>
    <t>Bolivia</t>
  </si>
  <si>
    <t>Israel</t>
  </si>
  <si>
    <t>Kosovo</t>
  </si>
  <si>
    <t>Oman</t>
  </si>
  <si>
    <t>Guinea</t>
  </si>
  <si>
    <t>Montenegro</t>
  </si>
  <si>
    <t>Curaçao</t>
  </si>
  <si>
    <t>Haiti</t>
  </si>
  <si>
    <t>Syria</t>
  </si>
  <si>
    <t>New Zealand</t>
  </si>
  <si>
    <t>Bulgaria</t>
  </si>
  <si>
    <t>Gabon</t>
  </si>
  <si>
    <t>Uganda</t>
  </si>
  <si>
    <t>Angola</t>
  </si>
  <si>
    <t>Benin</t>
  </si>
  <si>
    <t>Bahrain</t>
  </si>
  <si>
    <t>Zambia</t>
  </si>
  <si>
    <t>Thailand</t>
  </si>
  <si>
    <t>China PR</t>
  </si>
  <si>
    <t>Palestine</t>
  </si>
  <si>
    <t>Guatemala</t>
  </si>
  <si>
    <t>Belarus</t>
  </si>
  <si>
    <t>Luxembourg</t>
  </si>
  <si>
    <t>Vietnam</t>
  </si>
  <si>
    <t>-9</t>
  </si>
  <si>
    <t>El Salvador</t>
  </si>
  <si>
    <t>Source: football-ranking.com / FIFA | Last official update: 1 April 2026</t>
  </si>
  <si>
    <t>Host</t>
  </si>
  <si>
    <t>WC Seed</t>
  </si>
  <si>
    <t>Athletic Power Ranking</t>
  </si>
  <si>
    <t>Diff</t>
  </si>
  <si>
    <t>Outlier</t>
  </si>
  <si>
    <t>Outlier Filter: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</si>
</sst>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sz val="10"/>
      <color rgb="FF008000"/>
      <name val="Arial"/>
    </font>
    <font>
      <sz val="10"/>
      <color rgb="FFCC0000"/>
      <name val="Arial"/>
    </font>
    <font>
      <sz val="10"/>
      <color rgb="FF888888"/>
      <name val="Arial"/>
    </font>
    <font>
      <i/>
      <sz val="8"/>
      <color rgb="FF666666"/>
      <name val="Arial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0FE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/>
    <xf numFmtId="4" fontId="4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4" fontId="4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/>
    <xf numFmtId="4" fontId="4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0" borderId="0" xfId="0" applyFont="1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/>
    <xf numFmtId="0" fontId="9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04"/>
  <sheetViews>
    <sheetView tabSelected="1" workbookViewId="0">
      <selection activeCell="G113" sqref="G113"/>
    </sheetView>
  </sheetViews>
  <sheetFormatPr baseColWidth="10" defaultColWidth="8.83203125" defaultRowHeight="15" x14ac:dyDescent="0.2"/>
  <cols>
    <col min="1" max="1" width="8" customWidth="1"/>
    <col min="2" max="2" width="28" customWidth="1"/>
    <col min="3" max="3" width="14" customWidth="1"/>
    <col min="4" max="4" width="12" customWidth="1"/>
    <col min="5" max="5" width="22" customWidth="1"/>
    <col min="6" max="6" width="12.5" customWidth="1"/>
    <col min="7" max="7" width="24.6640625" customWidth="1"/>
    <col min="8" max="8" width="10.6640625" style="25" customWidth="1"/>
    <col min="9" max="9" width="12.5" style="21" customWidth="1"/>
  </cols>
  <sheetData>
    <row r="1" spans="1:12" ht="18" x14ac:dyDescent="0.2">
      <c r="A1" s="22" t="s">
        <v>0</v>
      </c>
      <c r="B1" s="23"/>
      <c r="C1" s="23"/>
      <c r="D1" s="23"/>
      <c r="K1" s="27" t="s">
        <v>128</v>
      </c>
      <c r="L1">
        <v>5</v>
      </c>
    </row>
    <row r="3" spans="1:12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4" t="s">
        <v>124</v>
      </c>
      <c r="G3" s="24" t="s">
        <v>125</v>
      </c>
      <c r="H3" s="24" t="s">
        <v>126</v>
      </c>
      <c r="I3" s="26" t="s">
        <v>127</v>
      </c>
    </row>
    <row r="4" spans="1:12" hidden="1" x14ac:dyDescent="0.2">
      <c r="A4" s="2">
        <v>1</v>
      </c>
      <c r="B4" s="3" t="s">
        <v>6</v>
      </c>
      <c r="C4" s="4">
        <v>1877.32</v>
      </c>
      <c r="D4" s="5" t="s">
        <v>7</v>
      </c>
      <c r="E4" s="21" t="s">
        <v>8</v>
      </c>
      <c r="F4" s="21">
        <v>1</v>
      </c>
      <c r="G4" s="25">
        <v>3</v>
      </c>
      <c r="H4" s="25">
        <f>F4-G4</f>
        <v>-2</v>
      </c>
      <c r="I4" s="21" t="str">
        <f>IF(SQRT(H4*H4)&gt;$L$1,"X","")</f>
        <v/>
      </c>
    </row>
    <row r="5" spans="1:12" hidden="1" x14ac:dyDescent="0.2">
      <c r="A5" s="2">
        <v>2</v>
      </c>
      <c r="B5" s="3" t="s">
        <v>9</v>
      </c>
      <c r="C5" s="4">
        <v>1876.4</v>
      </c>
      <c r="D5" s="6" t="s">
        <v>10</v>
      </c>
      <c r="E5" s="21" t="s">
        <v>8</v>
      </c>
      <c r="F5" s="21">
        <v>2</v>
      </c>
      <c r="G5" s="25">
        <v>1</v>
      </c>
      <c r="H5" s="25">
        <f t="shared" ref="H5:H68" si="0">F5-G5</f>
        <v>1</v>
      </c>
      <c r="I5" s="21" t="str">
        <f t="shared" ref="I5:I68" si="1">IF(SQRT(H5*H5)&gt;$L$1,"X","")</f>
        <v/>
      </c>
    </row>
    <row r="6" spans="1:12" hidden="1" x14ac:dyDescent="0.2">
      <c r="A6" s="2">
        <v>3</v>
      </c>
      <c r="B6" s="3" t="s">
        <v>11</v>
      </c>
      <c r="C6" s="4">
        <v>1874.82</v>
      </c>
      <c r="D6" s="6" t="s">
        <v>10</v>
      </c>
      <c r="E6" s="21" t="s">
        <v>8</v>
      </c>
      <c r="F6" s="21">
        <v>3</v>
      </c>
      <c r="G6" s="25">
        <v>2</v>
      </c>
      <c r="H6" s="25">
        <f t="shared" si="0"/>
        <v>1</v>
      </c>
      <c r="I6" s="21" t="str">
        <f t="shared" si="1"/>
        <v/>
      </c>
    </row>
    <row r="7" spans="1:12" hidden="1" x14ac:dyDescent="0.2">
      <c r="A7" s="2">
        <v>4</v>
      </c>
      <c r="B7" s="3" t="s">
        <v>12</v>
      </c>
      <c r="C7" s="4">
        <v>1825.97</v>
      </c>
      <c r="D7" s="7" t="s">
        <v>13</v>
      </c>
      <c r="E7" s="21" t="s">
        <v>8</v>
      </c>
      <c r="F7" s="21">
        <v>4</v>
      </c>
      <c r="G7" s="25">
        <v>6</v>
      </c>
      <c r="H7" s="25">
        <f t="shared" si="0"/>
        <v>-2</v>
      </c>
      <c r="I7" s="21" t="str">
        <f t="shared" si="1"/>
        <v/>
      </c>
    </row>
    <row r="8" spans="1:12" hidden="1" x14ac:dyDescent="0.2">
      <c r="A8" s="2">
        <v>5</v>
      </c>
      <c r="B8" s="3" t="s">
        <v>14</v>
      </c>
      <c r="C8" s="4">
        <v>1763.83</v>
      </c>
      <c r="D8" s="5" t="s">
        <v>15</v>
      </c>
      <c r="E8" s="21" t="s">
        <v>8</v>
      </c>
      <c r="F8" s="21">
        <v>5</v>
      </c>
      <c r="G8" s="25">
        <v>7</v>
      </c>
      <c r="H8" s="25">
        <f t="shared" si="0"/>
        <v>-2</v>
      </c>
      <c r="I8" s="21" t="str">
        <f t="shared" si="1"/>
        <v/>
      </c>
    </row>
    <row r="9" spans="1:12" hidden="1" x14ac:dyDescent="0.2">
      <c r="A9" s="2">
        <v>6</v>
      </c>
      <c r="B9" s="3" t="s">
        <v>16</v>
      </c>
      <c r="C9" s="4">
        <v>1761.16</v>
      </c>
      <c r="D9" s="6" t="s">
        <v>10</v>
      </c>
      <c r="E9" s="21" t="s">
        <v>8</v>
      </c>
      <c r="F9" s="21">
        <v>6</v>
      </c>
      <c r="G9" s="25">
        <v>4</v>
      </c>
      <c r="H9" s="25">
        <f t="shared" si="0"/>
        <v>2</v>
      </c>
      <c r="I9" s="21" t="str">
        <f t="shared" si="1"/>
        <v/>
      </c>
    </row>
    <row r="10" spans="1:12" hidden="1" x14ac:dyDescent="0.2">
      <c r="A10" s="2">
        <v>7</v>
      </c>
      <c r="B10" s="3" t="s">
        <v>17</v>
      </c>
      <c r="C10" s="4">
        <v>1757.87</v>
      </c>
      <c r="D10" s="7" t="s">
        <v>13</v>
      </c>
      <c r="E10" s="21" t="s">
        <v>8</v>
      </c>
      <c r="F10" s="21">
        <v>7</v>
      </c>
      <c r="G10" s="25">
        <v>5</v>
      </c>
      <c r="H10" s="25">
        <f t="shared" si="0"/>
        <v>2</v>
      </c>
      <c r="I10" s="21" t="str">
        <f t="shared" si="1"/>
        <v/>
      </c>
    </row>
    <row r="11" spans="1:12" hidden="1" x14ac:dyDescent="0.2">
      <c r="A11" s="2">
        <v>8</v>
      </c>
      <c r="B11" s="3" t="s">
        <v>18</v>
      </c>
      <c r="C11" s="4">
        <v>1756.8</v>
      </c>
      <c r="D11" s="7" t="s">
        <v>13</v>
      </c>
      <c r="E11" s="21" t="s">
        <v>8</v>
      </c>
      <c r="F11" s="21">
        <v>8</v>
      </c>
      <c r="G11" s="25">
        <v>11</v>
      </c>
      <c r="H11" s="25">
        <f t="shared" si="0"/>
        <v>-3</v>
      </c>
      <c r="I11" s="21" t="str">
        <f t="shared" si="1"/>
        <v/>
      </c>
    </row>
    <row r="12" spans="1:12" hidden="1" x14ac:dyDescent="0.2">
      <c r="A12" s="2">
        <v>9</v>
      </c>
      <c r="B12" s="3" t="s">
        <v>19</v>
      </c>
      <c r="C12" s="4">
        <v>1734.72</v>
      </c>
      <c r="D12" s="7" t="s">
        <v>13</v>
      </c>
      <c r="E12" s="21" t="s">
        <v>8</v>
      </c>
      <c r="F12" s="21">
        <v>9</v>
      </c>
      <c r="G12" s="25">
        <v>13</v>
      </c>
      <c r="H12" s="25">
        <f t="shared" si="0"/>
        <v>-4</v>
      </c>
      <c r="I12" s="21" t="str">
        <f t="shared" si="1"/>
        <v/>
      </c>
    </row>
    <row r="13" spans="1:12" hidden="1" x14ac:dyDescent="0.2">
      <c r="A13" s="2">
        <v>10</v>
      </c>
      <c r="B13" s="3" t="s">
        <v>20</v>
      </c>
      <c r="C13" s="4">
        <v>1730.37</v>
      </c>
      <c r="D13" s="7" t="s">
        <v>13</v>
      </c>
      <c r="E13" s="21" t="s">
        <v>8</v>
      </c>
      <c r="F13" s="21">
        <v>10</v>
      </c>
      <c r="G13" s="25">
        <v>8</v>
      </c>
      <c r="H13" s="25">
        <f t="shared" si="0"/>
        <v>2</v>
      </c>
      <c r="I13" s="21" t="str">
        <f t="shared" si="1"/>
        <v/>
      </c>
    </row>
    <row r="14" spans="1:12" hidden="1" x14ac:dyDescent="0.2">
      <c r="A14" s="8">
        <v>11</v>
      </c>
      <c r="B14" s="9" t="s">
        <v>21</v>
      </c>
      <c r="C14" s="10">
        <v>1717.06</v>
      </c>
      <c r="D14" s="11" t="s">
        <v>13</v>
      </c>
      <c r="E14" s="21" t="s">
        <v>8</v>
      </c>
      <c r="F14" s="21">
        <v>11</v>
      </c>
      <c r="G14" s="25">
        <v>10</v>
      </c>
      <c r="H14" s="25">
        <f t="shared" si="0"/>
        <v>1</v>
      </c>
      <c r="I14" s="21" t="str">
        <f t="shared" si="1"/>
        <v/>
      </c>
    </row>
    <row r="15" spans="1:12" hidden="1" x14ac:dyDescent="0.2">
      <c r="A15" s="12">
        <v>12</v>
      </c>
      <c r="B15" s="13" t="s">
        <v>22</v>
      </c>
      <c r="C15" s="14">
        <v>1693.09</v>
      </c>
      <c r="D15" s="15" t="s">
        <v>7</v>
      </c>
      <c r="E15" s="21" t="s">
        <v>8</v>
      </c>
      <c r="F15" s="21">
        <v>12</v>
      </c>
      <c r="G15" s="25">
        <v>9</v>
      </c>
      <c r="H15" s="25">
        <f t="shared" si="0"/>
        <v>3</v>
      </c>
      <c r="I15" s="21" t="str">
        <f t="shared" si="1"/>
        <v/>
      </c>
    </row>
    <row r="16" spans="1:12" hidden="1" x14ac:dyDescent="0.2">
      <c r="A16" s="8">
        <v>13</v>
      </c>
      <c r="B16" s="9" t="s">
        <v>23</v>
      </c>
      <c r="C16" s="10">
        <v>1691.97</v>
      </c>
      <c r="D16" s="16" t="s">
        <v>10</v>
      </c>
      <c r="E16" s="21" t="s">
        <v>8</v>
      </c>
      <c r="F16" s="21">
        <v>13</v>
      </c>
      <c r="G16" s="25">
        <v>14</v>
      </c>
      <c r="H16" s="25">
        <f t="shared" si="0"/>
        <v>-1</v>
      </c>
      <c r="I16" s="21" t="str">
        <f t="shared" si="1"/>
        <v/>
      </c>
    </row>
    <row r="17" spans="1:9" hidden="1" x14ac:dyDescent="0.2">
      <c r="A17" s="12">
        <v>14</v>
      </c>
      <c r="B17" s="13" t="s">
        <v>24</v>
      </c>
      <c r="C17" s="14">
        <v>1687.98</v>
      </c>
      <c r="D17" s="17" t="s">
        <v>10</v>
      </c>
      <c r="E17" s="21" t="s">
        <v>25</v>
      </c>
      <c r="F17" s="21"/>
      <c r="G17" s="25"/>
      <c r="H17" s="25">
        <f t="shared" si="0"/>
        <v>0</v>
      </c>
      <c r="I17" s="21" t="str">
        <f t="shared" si="1"/>
        <v/>
      </c>
    </row>
    <row r="18" spans="1:9" hidden="1" x14ac:dyDescent="0.2">
      <c r="A18" s="8">
        <v>15</v>
      </c>
      <c r="B18" s="9" t="s">
        <v>26</v>
      </c>
      <c r="C18" s="10">
        <v>1681.03</v>
      </c>
      <c r="D18" s="18" t="s">
        <v>15</v>
      </c>
      <c r="E18" s="21" t="s">
        <v>123</v>
      </c>
      <c r="F18" s="21">
        <v>14</v>
      </c>
      <c r="G18" s="25">
        <v>18</v>
      </c>
      <c r="H18" s="25">
        <f t="shared" si="0"/>
        <v>-4</v>
      </c>
      <c r="I18" s="21" t="str">
        <f t="shared" si="1"/>
        <v/>
      </c>
    </row>
    <row r="19" spans="1:9" x14ac:dyDescent="0.2">
      <c r="A19" s="12">
        <v>16</v>
      </c>
      <c r="B19" s="13" t="s">
        <v>27</v>
      </c>
      <c r="C19" s="14">
        <v>1673.13</v>
      </c>
      <c r="D19" s="17" t="s">
        <v>10</v>
      </c>
      <c r="E19" s="21" t="s">
        <v>123</v>
      </c>
      <c r="F19" s="21">
        <v>15</v>
      </c>
      <c r="G19" s="25">
        <v>23</v>
      </c>
      <c r="H19" s="25">
        <f t="shared" si="0"/>
        <v>-8</v>
      </c>
      <c r="I19" s="21" t="str">
        <f t="shared" si="1"/>
        <v>X</v>
      </c>
    </row>
    <row r="20" spans="1:9" hidden="1" x14ac:dyDescent="0.2">
      <c r="A20" s="8">
        <v>17</v>
      </c>
      <c r="B20" s="9" t="s">
        <v>28</v>
      </c>
      <c r="C20" s="10">
        <v>1673.07</v>
      </c>
      <c r="D20" s="11" t="s">
        <v>13</v>
      </c>
      <c r="E20" s="21" t="s">
        <v>8</v>
      </c>
      <c r="F20" s="21">
        <v>16</v>
      </c>
      <c r="G20" s="25">
        <v>12</v>
      </c>
      <c r="H20" s="25">
        <f t="shared" si="0"/>
        <v>4</v>
      </c>
      <c r="I20" s="21" t="str">
        <f t="shared" si="1"/>
        <v/>
      </c>
    </row>
    <row r="21" spans="1:9" hidden="1" x14ac:dyDescent="0.2">
      <c r="A21" s="12">
        <v>18</v>
      </c>
      <c r="B21" s="13" t="s">
        <v>29</v>
      </c>
      <c r="C21" s="14">
        <v>1660.43</v>
      </c>
      <c r="D21" s="15" t="s">
        <v>15</v>
      </c>
      <c r="E21" s="21" t="s">
        <v>8</v>
      </c>
      <c r="F21" s="21">
        <v>17</v>
      </c>
      <c r="G21" s="25">
        <v>21</v>
      </c>
      <c r="H21" s="25">
        <f t="shared" si="0"/>
        <v>-4</v>
      </c>
      <c r="I21" s="21" t="str">
        <f t="shared" si="1"/>
        <v/>
      </c>
    </row>
    <row r="22" spans="1:9" hidden="1" x14ac:dyDescent="0.2">
      <c r="A22" s="8">
        <v>19</v>
      </c>
      <c r="B22" s="9" t="s">
        <v>30</v>
      </c>
      <c r="C22" s="10">
        <v>1649.4</v>
      </c>
      <c r="D22" s="16" t="s">
        <v>10</v>
      </c>
      <c r="E22" s="21" t="s">
        <v>8</v>
      </c>
      <c r="F22" s="21">
        <v>18</v>
      </c>
      <c r="G22" s="25">
        <v>22</v>
      </c>
      <c r="H22" s="25">
        <f t="shared" si="0"/>
        <v>-4</v>
      </c>
      <c r="I22" s="21" t="str">
        <f t="shared" si="1"/>
        <v/>
      </c>
    </row>
    <row r="23" spans="1:9" x14ac:dyDescent="0.2">
      <c r="A23" s="12">
        <v>20</v>
      </c>
      <c r="B23" s="13" t="s">
        <v>31</v>
      </c>
      <c r="C23" s="14">
        <v>1615.3</v>
      </c>
      <c r="D23" s="19" t="s">
        <v>13</v>
      </c>
      <c r="E23" s="21" t="s">
        <v>8</v>
      </c>
      <c r="F23" s="21">
        <v>19</v>
      </c>
      <c r="G23" s="25">
        <v>28</v>
      </c>
      <c r="H23" s="25">
        <f t="shared" si="0"/>
        <v>-9</v>
      </c>
      <c r="I23" s="21" t="str">
        <f t="shared" si="1"/>
        <v>X</v>
      </c>
    </row>
    <row r="24" spans="1:9" hidden="1" x14ac:dyDescent="0.2">
      <c r="A24" s="8">
        <v>21</v>
      </c>
      <c r="B24" s="9" t="s">
        <v>32</v>
      </c>
      <c r="C24" s="10">
        <v>1608.45</v>
      </c>
      <c r="D24" s="11" t="s">
        <v>13</v>
      </c>
      <c r="E24" s="21" t="s">
        <v>25</v>
      </c>
      <c r="F24" s="21"/>
      <c r="G24" s="25"/>
      <c r="H24" s="25">
        <f t="shared" si="0"/>
        <v>0</v>
      </c>
      <c r="I24" s="21" t="str">
        <f t="shared" si="1"/>
        <v/>
      </c>
    </row>
    <row r="25" spans="1:9" hidden="1" x14ac:dyDescent="0.2">
      <c r="A25" s="12">
        <v>22</v>
      </c>
      <c r="B25" s="13" t="s">
        <v>33</v>
      </c>
      <c r="C25" s="14">
        <v>1599.03</v>
      </c>
      <c r="D25" s="15" t="s">
        <v>34</v>
      </c>
      <c r="E25" s="21" t="s">
        <v>35</v>
      </c>
      <c r="F25" s="21">
        <v>20</v>
      </c>
      <c r="G25" s="25">
        <v>24</v>
      </c>
      <c r="H25" s="25">
        <f t="shared" si="0"/>
        <v>-4</v>
      </c>
      <c r="I25" s="21" t="str">
        <f t="shared" si="1"/>
        <v/>
      </c>
    </row>
    <row r="26" spans="1:9" hidden="1" x14ac:dyDescent="0.2">
      <c r="A26" s="8">
        <v>23</v>
      </c>
      <c r="B26" s="9" t="s">
        <v>36</v>
      </c>
      <c r="C26" s="10">
        <v>1594.79</v>
      </c>
      <c r="D26" s="11" t="s">
        <v>13</v>
      </c>
      <c r="E26" s="21" t="s">
        <v>8</v>
      </c>
      <c r="F26" s="21">
        <v>21</v>
      </c>
      <c r="G26" s="25">
        <v>17</v>
      </c>
      <c r="H26" s="25">
        <f t="shared" si="0"/>
        <v>4</v>
      </c>
      <c r="I26" s="21" t="str">
        <f t="shared" si="1"/>
        <v/>
      </c>
    </row>
    <row r="27" spans="1:9" x14ac:dyDescent="0.2">
      <c r="A27" s="12">
        <v>24</v>
      </c>
      <c r="B27" s="13" t="s">
        <v>37</v>
      </c>
      <c r="C27" s="14">
        <v>1593.45</v>
      </c>
      <c r="D27" s="19" t="s">
        <v>13</v>
      </c>
      <c r="E27" s="21" t="s">
        <v>8</v>
      </c>
      <c r="F27" s="21">
        <v>22</v>
      </c>
      <c r="G27" s="25">
        <v>29</v>
      </c>
      <c r="H27" s="25">
        <f t="shared" si="0"/>
        <v>-7</v>
      </c>
      <c r="I27" s="21" t="str">
        <f t="shared" si="1"/>
        <v>X</v>
      </c>
    </row>
    <row r="28" spans="1:9" x14ac:dyDescent="0.2">
      <c r="A28" s="8">
        <v>25</v>
      </c>
      <c r="B28" s="9" t="s">
        <v>38</v>
      </c>
      <c r="C28" s="10">
        <v>1588.67</v>
      </c>
      <c r="D28" s="16" t="s">
        <v>39</v>
      </c>
      <c r="E28" s="21" t="s">
        <v>8</v>
      </c>
      <c r="F28" s="21">
        <v>23</v>
      </c>
      <c r="G28" s="25">
        <v>16</v>
      </c>
      <c r="H28" s="25">
        <f t="shared" si="0"/>
        <v>7</v>
      </c>
      <c r="I28" s="21" t="str">
        <f t="shared" si="1"/>
        <v>X</v>
      </c>
    </row>
    <row r="29" spans="1:9" hidden="1" x14ac:dyDescent="0.2">
      <c r="A29" s="12">
        <v>26</v>
      </c>
      <c r="B29" s="13" t="s">
        <v>40</v>
      </c>
      <c r="C29" s="14">
        <v>1585.08</v>
      </c>
      <c r="D29" s="19" t="s">
        <v>13</v>
      </c>
      <c r="E29" s="21" t="s">
        <v>25</v>
      </c>
      <c r="F29" s="21"/>
      <c r="G29" s="25"/>
      <c r="H29" s="25">
        <f t="shared" si="0"/>
        <v>0</v>
      </c>
      <c r="I29" s="21" t="str">
        <f t="shared" si="1"/>
        <v/>
      </c>
    </row>
    <row r="30" spans="1:9" hidden="1" x14ac:dyDescent="0.2">
      <c r="A30" s="8">
        <v>27</v>
      </c>
      <c r="B30" s="9" t="s">
        <v>41</v>
      </c>
      <c r="C30" s="10">
        <v>1580.68</v>
      </c>
      <c r="D30" s="11" t="s">
        <v>13</v>
      </c>
      <c r="E30" s="21" t="s">
        <v>8</v>
      </c>
      <c r="F30" s="21">
        <v>24</v>
      </c>
      <c r="G30" s="25">
        <v>25</v>
      </c>
      <c r="H30" s="25">
        <f t="shared" si="0"/>
        <v>-1</v>
      </c>
      <c r="I30" s="21" t="str">
        <f t="shared" si="1"/>
        <v/>
      </c>
    </row>
    <row r="31" spans="1:9" hidden="1" x14ac:dyDescent="0.2">
      <c r="A31" s="12">
        <v>28</v>
      </c>
      <c r="B31" s="13" t="s">
        <v>42</v>
      </c>
      <c r="C31" s="14">
        <v>1564.26</v>
      </c>
      <c r="D31" s="19" t="s">
        <v>13</v>
      </c>
      <c r="E31" s="21" t="s">
        <v>8</v>
      </c>
      <c r="F31" s="21">
        <v>25</v>
      </c>
      <c r="G31" s="25">
        <v>27</v>
      </c>
      <c r="H31" s="25">
        <f t="shared" si="0"/>
        <v>-2</v>
      </c>
      <c r="I31" s="21" t="str">
        <f t="shared" si="1"/>
        <v/>
      </c>
    </row>
    <row r="32" spans="1:9" x14ac:dyDescent="0.2">
      <c r="A32" s="8">
        <v>29</v>
      </c>
      <c r="B32" s="9" t="s">
        <v>43</v>
      </c>
      <c r="C32" s="10">
        <v>1563.24</v>
      </c>
      <c r="D32" s="18" t="s">
        <v>7</v>
      </c>
      <c r="E32" s="21" t="s">
        <v>8</v>
      </c>
      <c r="F32" s="21">
        <v>26</v>
      </c>
      <c r="G32" s="25">
        <v>15</v>
      </c>
      <c r="H32" s="25">
        <f t="shared" si="0"/>
        <v>11</v>
      </c>
      <c r="I32" s="21" t="str">
        <f t="shared" si="1"/>
        <v>X</v>
      </c>
    </row>
    <row r="33" spans="1:9" hidden="1" x14ac:dyDescent="0.2">
      <c r="A33" s="12">
        <v>30</v>
      </c>
      <c r="B33" s="13" t="s">
        <v>44</v>
      </c>
      <c r="C33" s="14">
        <v>1556.48</v>
      </c>
      <c r="D33" s="17" t="s">
        <v>10</v>
      </c>
      <c r="E33" s="21" t="s">
        <v>123</v>
      </c>
      <c r="F33" s="21">
        <v>27</v>
      </c>
      <c r="G33" s="25">
        <v>30</v>
      </c>
      <c r="H33" s="25">
        <f t="shared" si="0"/>
        <v>-3</v>
      </c>
      <c r="I33" s="21" t="str">
        <f t="shared" si="1"/>
        <v/>
      </c>
    </row>
    <row r="34" spans="1:9" x14ac:dyDescent="0.2">
      <c r="A34" s="8">
        <v>31</v>
      </c>
      <c r="B34" s="9" t="s">
        <v>45</v>
      </c>
      <c r="C34" s="10">
        <v>1550.95</v>
      </c>
      <c r="D34" s="18" t="s">
        <v>15</v>
      </c>
      <c r="E34" s="21" t="s">
        <v>8</v>
      </c>
      <c r="F34" s="21">
        <v>28</v>
      </c>
      <c r="G34" s="25">
        <v>19</v>
      </c>
      <c r="H34" s="25">
        <f t="shared" si="0"/>
        <v>9</v>
      </c>
      <c r="I34" s="21" t="str">
        <f t="shared" si="1"/>
        <v>X</v>
      </c>
    </row>
    <row r="35" spans="1:9" hidden="1" x14ac:dyDescent="0.2">
      <c r="A35" s="12">
        <v>32</v>
      </c>
      <c r="B35" s="13" t="s">
        <v>46</v>
      </c>
      <c r="C35" s="14">
        <v>1546.88</v>
      </c>
      <c r="D35" s="17" t="s">
        <v>47</v>
      </c>
      <c r="E35" s="21" t="s">
        <v>25</v>
      </c>
      <c r="F35" s="21"/>
      <c r="G35" s="25"/>
      <c r="H35" s="25">
        <f t="shared" si="0"/>
        <v>0</v>
      </c>
      <c r="I35" s="21" t="str">
        <f t="shared" si="1"/>
        <v/>
      </c>
    </row>
    <row r="36" spans="1:9" hidden="1" x14ac:dyDescent="0.2">
      <c r="A36" s="8">
        <v>33</v>
      </c>
      <c r="B36" s="9" t="s">
        <v>48</v>
      </c>
      <c r="C36" s="10">
        <v>1540.64</v>
      </c>
      <c r="D36" s="11" t="s">
        <v>13</v>
      </c>
      <c r="E36" s="21" t="s">
        <v>8</v>
      </c>
      <c r="F36" s="21">
        <v>29</v>
      </c>
      <c r="G36" s="25">
        <v>34</v>
      </c>
      <c r="H36" s="25">
        <f t="shared" si="0"/>
        <v>-5</v>
      </c>
      <c r="I36" s="21" t="str">
        <f t="shared" si="1"/>
        <v/>
      </c>
    </row>
    <row r="37" spans="1:9" x14ac:dyDescent="0.2">
      <c r="A37" s="12">
        <v>34</v>
      </c>
      <c r="B37" s="13" t="s">
        <v>49</v>
      </c>
      <c r="C37" s="14">
        <v>1532.97</v>
      </c>
      <c r="D37" s="15" t="s">
        <v>34</v>
      </c>
      <c r="E37" s="21" t="s">
        <v>8</v>
      </c>
      <c r="F37" s="21">
        <v>30</v>
      </c>
      <c r="G37" s="25">
        <v>20</v>
      </c>
      <c r="H37" s="25">
        <f t="shared" si="0"/>
        <v>10</v>
      </c>
      <c r="I37" s="21" t="str">
        <f t="shared" si="1"/>
        <v>X</v>
      </c>
    </row>
    <row r="38" spans="1:9" hidden="1" x14ac:dyDescent="0.2">
      <c r="A38" s="8">
        <v>35</v>
      </c>
      <c r="B38" s="9" t="s">
        <v>50</v>
      </c>
      <c r="C38" s="10">
        <v>1528</v>
      </c>
      <c r="D38" s="16" t="s">
        <v>10</v>
      </c>
      <c r="E38" s="21" t="s">
        <v>25</v>
      </c>
      <c r="F38" s="21"/>
      <c r="G38" s="25"/>
      <c r="H38" s="25">
        <f t="shared" si="0"/>
        <v>0</v>
      </c>
      <c r="I38" s="21" t="str">
        <f t="shared" si="1"/>
        <v/>
      </c>
    </row>
    <row r="39" spans="1:9" hidden="1" x14ac:dyDescent="0.2">
      <c r="A39" s="12">
        <v>36</v>
      </c>
      <c r="B39" s="13" t="s">
        <v>51</v>
      </c>
      <c r="C39" s="14">
        <v>1525.6</v>
      </c>
      <c r="D39" s="19" t="s">
        <v>13</v>
      </c>
      <c r="E39" s="21" t="s">
        <v>25</v>
      </c>
      <c r="F39" s="21"/>
      <c r="G39" s="25"/>
      <c r="H39" s="25">
        <f t="shared" si="0"/>
        <v>0</v>
      </c>
      <c r="I39" s="21" t="str">
        <f t="shared" si="1"/>
        <v/>
      </c>
    </row>
    <row r="40" spans="1:9" hidden="1" x14ac:dyDescent="0.2">
      <c r="A40" s="8">
        <v>37</v>
      </c>
      <c r="B40" s="9" t="s">
        <v>52</v>
      </c>
      <c r="C40" s="10">
        <v>1514.77</v>
      </c>
      <c r="D40" s="18" t="s">
        <v>53</v>
      </c>
      <c r="E40" s="21" t="s">
        <v>35</v>
      </c>
      <c r="F40" s="21">
        <v>31</v>
      </c>
      <c r="G40" s="25">
        <v>33</v>
      </c>
      <c r="H40" s="25">
        <f t="shared" si="0"/>
        <v>-2</v>
      </c>
      <c r="I40" s="21" t="str">
        <f t="shared" si="1"/>
        <v/>
      </c>
    </row>
    <row r="41" spans="1:9" x14ac:dyDescent="0.2">
      <c r="A41" s="12">
        <v>38</v>
      </c>
      <c r="B41" s="13" t="s">
        <v>54</v>
      </c>
      <c r="C41" s="14">
        <v>1513.74</v>
      </c>
      <c r="D41" s="15" t="s">
        <v>53</v>
      </c>
      <c r="E41" s="21" t="s">
        <v>35</v>
      </c>
      <c r="F41" s="21">
        <v>32</v>
      </c>
      <c r="G41" s="25">
        <v>39</v>
      </c>
      <c r="H41" s="25">
        <f t="shared" si="0"/>
        <v>-7</v>
      </c>
      <c r="I41" s="21" t="str">
        <f t="shared" si="1"/>
        <v>X</v>
      </c>
    </row>
    <row r="42" spans="1:9" hidden="1" x14ac:dyDescent="0.2">
      <c r="A42" s="8">
        <v>39</v>
      </c>
      <c r="B42" s="9" t="s">
        <v>55</v>
      </c>
      <c r="C42" s="10">
        <v>1511.9</v>
      </c>
      <c r="D42" s="16" t="s">
        <v>56</v>
      </c>
      <c r="E42" s="21" t="s">
        <v>25</v>
      </c>
      <c r="F42" s="21"/>
      <c r="G42" s="25"/>
      <c r="H42" s="25">
        <f t="shared" si="0"/>
        <v>0</v>
      </c>
      <c r="I42" s="21" t="str">
        <f t="shared" si="1"/>
        <v/>
      </c>
    </row>
    <row r="43" spans="1:9" hidden="1" x14ac:dyDescent="0.2">
      <c r="A43" s="12">
        <v>40</v>
      </c>
      <c r="B43" s="13" t="s">
        <v>57</v>
      </c>
      <c r="C43" s="14">
        <v>1508.65</v>
      </c>
      <c r="D43" s="17" t="s">
        <v>10</v>
      </c>
      <c r="E43" s="21" t="s">
        <v>25</v>
      </c>
      <c r="F43" s="21"/>
      <c r="G43" s="25"/>
      <c r="H43" s="25">
        <f t="shared" si="0"/>
        <v>0</v>
      </c>
      <c r="I43" s="21" t="str">
        <f t="shared" si="1"/>
        <v/>
      </c>
    </row>
    <row r="44" spans="1:9" hidden="1" x14ac:dyDescent="0.2">
      <c r="A44" s="8">
        <v>41</v>
      </c>
      <c r="B44" s="9" t="s">
        <v>58</v>
      </c>
      <c r="C44" s="10">
        <v>1503.51</v>
      </c>
      <c r="D44" s="16" t="s">
        <v>10</v>
      </c>
      <c r="E44" s="21" t="s">
        <v>8</v>
      </c>
      <c r="F44" s="21">
        <v>33</v>
      </c>
      <c r="G44" s="25">
        <v>31</v>
      </c>
      <c r="H44" s="25">
        <f t="shared" si="0"/>
        <v>2</v>
      </c>
      <c r="I44" s="21" t="str">
        <f t="shared" si="1"/>
        <v/>
      </c>
    </row>
    <row r="45" spans="1:9" hidden="1" x14ac:dyDescent="0.2">
      <c r="A45" s="12">
        <v>42</v>
      </c>
      <c r="B45" s="13" t="s">
        <v>59</v>
      </c>
      <c r="C45" s="14">
        <v>1500.58</v>
      </c>
      <c r="D45" s="17" t="s">
        <v>10</v>
      </c>
      <c r="E45" s="21" t="s">
        <v>25</v>
      </c>
      <c r="F45" s="21"/>
      <c r="G45" s="25"/>
      <c r="H45" s="25">
        <f t="shared" si="0"/>
        <v>0</v>
      </c>
      <c r="I45" s="21" t="str">
        <f t="shared" si="1"/>
        <v/>
      </c>
    </row>
    <row r="46" spans="1:9" hidden="1" x14ac:dyDescent="0.2">
      <c r="A46" s="8">
        <v>43</v>
      </c>
      <c r="B46" s="9" t="s">
        <v>60</v>
      </c>
      <c r="C46" s="10">
        <v>1498.35</v>
      </c>
      <c r="D46" s="16" t="s">
        <v>61</v>
      </c>
      <c r="E46" s="21" t="s">
        <v>8</v>
      </c>
      <c r="F46" s="21">
        <v>34</v>
      </c>
      <c r="G46" s="25">
        <v>35</v>
      </c>
      <c r="H46" s="25">
        <f t="shared" si="0"/>
        <v>-1</v>
      </c>
      <c r="I46" s="21" t="str">
        <f t="shared" si="1"/>
        <v/>
      </c>
    </row>
    <row r="47" spans="1:9" hidden="1" x14ac:dyDescent="0.2">
      <c r="A47" s="12">
        <v>44</v>
      </c>
      <c r="B47" s="13" t="s">
        <v>62</v>
      </c>
      <c r="C47" s="14">
        <v>1483.05</v>
      </c>
      <c r="D47" s="15" t="s">
        <v>34</v>
      </c>
      <c r="E47" s="21" t="s">
        <v>8</v>
      </c>
      <c r="F47" s="21">
        <v>35</v>
      </c>
      <c r="G47" s="25">
        <v>36</v>
      </c>
      <c r="H47" s="25">
        <f t="shared" si="0"/>
        <v>-1</v>
      </c>
      <c r="I47" s="21" t="str">
        <f t="shared" si="1"/>
        <v/>
      </c>
    </row>
    <row r="48" spans="1:9" hidden="1" x14ac:dyDescent="0.2">
      <c r="A48" s="8">
        <v>45</v>
      </c>
      <c r="B48" s="9" t="s">
        <v>63</v>
      </c>
      <c r="C48" s="10">
        <v>1481.24</v>
      </c>
      <c r="D48" s="11" t="s">
        <v>13</v>
      </c>
      <c r="E48" s="21" t="s">
        <v>25</v>
      </c>
      <c r="F48" s="21"/>
      <c r="G48" s="25"/>
      <c r="H48" s="25">
        <f t="shared" si="0"/>
        <v>0</v>
      </c>
      <c r="I48" s="21" t="str">
        <f t="shared" si="1"/>
        <v/>
      </c>
    </row>
    <row r="49" spans="1:9" x14ac:dyDescent="0.2">
      <c r="A49" s="12">
        <v>46</v>
      </c>
      <c r="B49" s="13" t="s">
        <v>64</v>
      </c>
      <c r="C49" s="14">
        <v>1479.64</v>
      </c>
      <c r="D49" s="15" t="s">
        <v>7</v>
      </c>
      <c r="E49" s="21" t="s">
        <v>35</v>
      </c>
      <c r="F49" s="21">
        <v>36</v>
      </c>
      <c r="G49" s="25">
        <v>43</v>
      </c>
      <c r="H49" s="25">
        <f t="shared" si="0"/>
        <v>-7</v>
      </c>
      <c r="I49" s="21" t="str">
        <f t="shared" si="1"/>
        <v>X</v>
      </c>
    </row>
    <row r="50" spans="1:9" hidden="1" x14ac:dyDescent="0.2">
      <c r="A50" s="8">
        <v>47</v>
      </c>
      <c r="B50" s="9" t="s">
        <v>65</v>
      </c>
      <c r="C50" s="10">
        <v>1475.82</v>
      </c>
      <c r="D50" s="16" t="s">
        <v>10</v>
      </c>
      <c r="E50" s="21" t="s">
        <v>25</v>
      </c>
      <c r="F50" s="21"/>
      <c r="G50" s="25"/>
      <c r="H50" s="25">
        <f t="shared" si="0"/>
        <v>0</v>
      </c>
      <c r="I50" s="21" t="str">
        <f t="shared" si="1"/>
        <v/>
      </c>
    </row>
    <row r="51" spans="1:9" hidden="1" x14ac:dyDescent="0.2">
      <c r="A51" s="12">
        <v>48</v>
      </c>
      <c r="B51" s="13" t="s">
        <v>66</v>
      </c>
      <c r="C51" s="14">
        <v>1473.94</v>
      </c>
      <c r="D51" s="17" t="s">
        <v>56</v>
      </c>
      <c r="E51" s="21" t="s">
        <v>25</v>
      </c>
      <c r="F51" s="21"/>
      <c r="G51" s="25"/>
      <c r="H51" s="25">
        <f t="shared" si="0"/>
        <v>0</v>
      </c>
      <c r="I51" s="21" t="str">
        <f t="shared" si="1"/>
        <v/>
      </c>
    </row>
    <row r="52" spans="1:9" x14ac:dyDescent="0.2">
      <c r="A52" s="8">
        <v>49</v>
      </c>
      <c r="B52" s="9" t="s">
        <v>67</v>
      </c>
      <c r="C52" s="10">
        <v>1469.4</v>
      </c>
      <c r="D52" s="18" t="s">
        <v>34</v>
      </c>
      <c r="E52" s="21" t="s">
        <v>8</v>
      </c>
      <c r="F52" s="21">
        <v>37</v>
      </c>
      <c r="G52" s="25">
        <v>45</v>
      </c>
      <c r="H52" s="25">
        <f t="shared" si="0"/>
        <v>-8</v>
      </c>
      <c r="I52" s="21" t="str">
        <f t="shared" si="1"/>
        <v>X</v>
      </c>
    </row>
    <row r="53" spans="1:9" hidden="1" x14ac:dyDescent="0.2">
      <c r="A53" s="12">
        <v>50</v>
      </c>
      <c r="B53" s="13" t="s">
        <v>68</v>
      </c>
      <c r="C53" s="14">
        <v>1463.03</v>
      </c>
      <c r="D53" s="19" t="s">
        <v>13</v>
      </c>
      <c r="E53" s="21" t="s">
        <v>25</v>
      </c>
      <c r="F53" s="21"/>
      <c r="G53" s="25"/>
      <c r="H53" s="25">
        <f t="shared" si="0"/>
        <v>0</v>
      </c>
      <c r="I53" s="21" t="str">
        <f t="shared" si="1"/>
        <v/>
      </c>
    </row>
    <row r="54" spans="1:9" hidden="1" x14ac:dyDescent="0.2">
      <c r="A54" s="8">
        <v>51</v>
      </c>
      <c r="B54" s="9" t="s">
        <v>69</v>
      </c>
      <c r="C54" s="10">
        <v>1459.91</v>
      </c>
      <c r="D54" s="11" t="s">
        <v>13</v>
      </c>
      <c r="E54" s="21" t="s">
        <v>25</v>
      </c>
      <c r="F54" s="21"/>
      <c r="G54" s="25"/>
      <c r="H54" s="25">
        <f t="shared" si="0"/>
        <v>0</v>
      </c>
      <c r="I54" s="21" t="str">
        <f t="shared" si="1"/>
        <v/>
      </c>
    </row>
    <row r="55" spans="1:9" hidden="1" x14ac:dyDescent="0.2">
      <c r="A55" s="12">
        <v>52</v>
      </c>
      <c r="B55" s="13" t="s">
        <v>70</v>
      </c>
      <c r="C55" s="14">
        <v>1459.13</v>
      </c>
      <c r="D55" s="15" t="s">
        <v>7</v>
      </c>
      <c r="E55" s="21" t="s">
        <v>25</v>
      </c>
      <c r="F55" s="21"/>
      <c r="G55" s="25"/>
      <c r="H55" s="25">
        <f t="shared" si="0"/>
        <v>0</v>
      </c>
      <c r="I55" s="21" t="str">
        <f t="shared" si="1"/>
        <v/>
      </c>
    </row>
    <row r="56" spans="1:9" hidden="1" x14ac:dyDescent="0.2">
      <c r="A56" s="8">
        <v>53</v>
      </c>
      <c r="B56" s="9" t="s">
        <v>71</v>
      </c>
      <c r="C56" s="10">
        <v>1455.9</v>
      </c>
      <c r="D56" s="11" t="s">
        <v>13</v>
      </c>
      <c r="E56" s="21" t="s">
        <v>25</v>
      </c>
      <c r="F56" s="21"/>
      <c r="G56" s="25"/>
      <c r="H56" s="25">
        <f t="shared" si="0"/>
        <v>0</v>
      </c>
      <c r="I56" s="21" t="str">
        <f t="shared" si="1"/>
        <v/>
      </c>
    </row>
    <row r="57" spans="1:9" hidden="1" x14ac:dyDescent="0.2">
      <c r="A57" s="12">
        <v>54</v>
      </c>
      <c r="B57" s="13" t="s">
        <v>72</v>
      </c>
      <c r="C57" s="14">
        <v>1455.29</v>
      </c>
      <c r="D57" s="15" t="s">
        <v>15</v>
      </c>
      <c r="E57" s="21" t="s">
        <v>25</v>
      </c>
      <c r="F57" s="21"/>
      <c r="G57" s="25"/>
      <c r="H57" s="25">
        <f t="shared" si="0"/>
        <v>0</v>
      </c>
      <c r="I57" s="21" t="str">
        <f t="shared" si="1"/>
        <v/>
      </c>
    </row>
    <row r="58" spans="1:9" hidden="1" x14ac:dyDescent="0.2">
      <c r="A58" s="8">
        <v>55</v>
      </c>
      <c r="B58" s="9" t="s">
        <v>73</v>
      </c>
      <c r="C58" s="10">
        <v>1454.96</v>
      </c>
      <c r="D58" s="18" t="s">
        <v>15</v>
      </c>
      <c r="E58" s="21" t="s">
        <v>8</v>
      </c>
      <c r="F58" s="21">
        <v>38</v>
      </c>
      <c r="G58" s="25">
        <v>38</v>
      </c>
      <c r="H58" s="25">
        <f t="shared" si="0"/>
        <v>0</v>
      </c>
      <c r="I58" s="21" t="str">
        <f t="shared" si="1"/>
        <v/>
      </c>
    </row>
    <row r="59" spans="1:9" hidden="1" x14ac:dyDescent="0.2">
      <c r="A59" s="12">
        <v>56</v>
      </c>
      <c r="B59" s="13" t="s">
        <v>74</v>
      </c>
      <c r="C59" s="14">
        <v>1451.16</v>
      </c>
      <c r="D59" s="17" t="s">
        <v>75</v>
      </c>
      <c r="E59" s="21" t="s">
        <v>25</v>
      </c>
      <c r="F59" s="21"/>
      <c r="G59" s="25"/>
      <c r="H59" s="25">
        <f t="shared" si="0"/>
        <v>0</v>
      </c>
      <c r="I59" s="21" t="str">
        <f t="shared" si="1"/>
        <v/>
      </c>
    </row>
    <row r="60" spans="1:9" x14ac:dyDescent="0.2">
      <c r="A60" s="8">
        <v>57</v>
      </c>
      <c r="B60" s="9" t="s">
        <v>76</v>
      </c>
      <c r="C60" s="10">
        <v>1447.13</v>
      </c>
      <c r="D60" s="18" t="s">
        <v>15</v>
      </c>
      <c r="E60" s="21" t="s">
        <v>35</v>
      </c>
      <c r="F60" s="21">
        <v>39</v>
      </c>
      <c r="G60" s="25">
        <v>46</v>
      </c>
      <c r="H60" s="25">
        <f t="shared" si="0"/>
        <v>-7</v>
      </c>
      <c r="I60" s="21" t="str">
        <f t="shared" si="1"/>
        <v>X</v>
      </c>
    </row>
    <row r="61" spans="1:9" hidden="1" x14ac:dyDescent="0.2">
      <c r="A61" s="12">
        <v>58</v>
      </c>
      <c r="B61" s="13" t="s">
        <v>77</v>
      </c>
      <c r="C61" s="14">
        <v>1446.43</v>
      </c>
      <c r="D61" s="17" t="s">
        <v>10</v>
      </c>
      <c r="E61" s="21" t="s">
        <v>25</v>
      </c>
      <c r="F61" s="21"/>
      <c r="G61" s="25"/>
      <c r="H61" s="25">
        <f t="shared" si="0"/>
        <v>0</v>
      </c>
      <c r="I61" s="21" t="str">
        <f t="shared" si="1"/>
        <v/>
      </c>
    </row>
    <row r="62" spans="1:9" hidden="1" x14ac:dyDescent="0.2">
      <c r="A62" s="8">
        <v>59</v>
      </c>
      <c r="B62" s="9" t="s">
        <v>78</v>
      </c>
      <c r="C62" s="10">
        <v>1429.73</v>
      </c>
      <c r="D62" s="18" t="s">
        <v>15</v>
      </c>
      <c r="E62" s="21" t="s">
        <v>8</v>
      </c>
      <c r="F62" s="21">
        <v>40</v>
      </c>
      <c r="G62" s="25">
        <v>37</v>
      </c>
      <c r="H62" s="25">
        <f t="shared" si="0"/>
        <v>3</v>
      </c>
      <c r="I62" s="21" t="str">
        <f t="shared" si="1"/>
        <v/>
      </c>
    </row>
    <row r="63" spans="1:9" hidden="1" x14ac:dyDescent="0.2">
      <c r="A63" s="12">
        <v>60</v>
      </c>
      <c r="B63" s="13" t="s">
        <v>79</v>
      </c>
      <c r="C63" s="14">
        <v>1424.25</v>
      </c>
      <c r="D63" s="17" t="s">
        <v>10</v>
      </c>
      <c r="E63" s="21" t="s">
        <v>25</v>
      </c>
      <c r="F63" s="21"/>
      <c r="G63" s="25"/>
      <c r="H63" s="25">
        <f t="shared" si="0"/>
        <v>0</v>
      </c>
      <c r="I63" s="21" t="str">
        <f t="shared" si="1"/>
        <v/>
      </c>
    </row>
    <row r="64" spans="1:9" x14ac:dyDescent="0.2">
      <c r="A64" s="8">
        <v>61</v>
      </c>
      <c r="B64" s="9" t="s">
        <v>80</v>
      </c>
      <c r="C64" s="10">
        <v>1421.43</v>
      </c>
      <c r="D64" s="11" t="s">
        <v>13</v>
      </c>
      <c r="E64" s="21" t="s">
        <v>8</v>
      </c>
      <c r="F64" s="21">
        <v>41</v>
      </c>
      <c r="G64" s="25">
        <v>32</v>
      </c>
      <c r="H64" s="25">
        <f t="shared" si="0"/>
        <v>9</v>
      </c>
      <c r="I64" s="21" t="str">
        <f t="shared" si="1"/>
        <v>X</v>
      </c>
    </row>
    <row r="65" spans="1:9" hidden="1" x14ac:dyDescent="0.2">
      <c r="A65" s="12">
        <v>62</v>
      </c>
      <c r="B65" s="13" t="s">
        <v>81</v>
      </c>
      <c r="C65" s="14">
        <v>1412.5</v>
      </c>
      <c r="D65" s="19" t="s">
        <v>13</v>
      </c>
      <c r="E65" s="21" t="s">
        <v>25</v>
      </c>
      <c r="F65" s="21"/>
      <c r="G65" s="25"/>
      <c r="H65" s="25">
        <f t="shared" si="0"/>
        <v>0</v>
      </c>
      <c r="I65" s="21" t="str">
        <f t="shared" si="1"/>
        <v/>
      </c>
    </row>
    <row r="66" spans="1:9" hidden="1" x14ac:dyDescent="0.2">
      <c r="A66" s="8">
        <v>63</v>
      </c>
      <c r="B66" s="9" t="s">
        <v>82</v>
      </c>
      <c r="C66" s="10">
        <v>1398.23</v>
      </c>
      <c r="D66" s="18" t="s">
        <v>83</v>
      </c>
      <c r="E66" s="21" t="s">
        <v>35</v>
      </c>
      <c r="F66" s="21">
        <v>42</v>
      </c>
      <c r="G66" s="25">
        <v>42</v>
      </c>
      <c r="H66" s="25">
        <f t="shared" si="0"/>
        <v>0</v>
      </c>
      <c r="I66" s="21" t="str">
        <f t="shared" si="1"/>
        <v/>
      </c>
    </row>
    <row r="67" spans="1:9" hidden="1" x14ac:dyDescent="0.2">
      <c r="A67" s="12">
        <v>64</v>
      </c>
      <c r="B67" s="13" t="s">
        <v>84</v>
      </c>
      <c r="C67" s="14">
        <v>1391.45</v>
      </c>
      <c r="D67" s="19" t="s">
        <v>13</v>
      </c>
      <c r="E67" s="21" t="s">
        <v>8</v>
      </c>
      <c r="F67" s="21">
        <v>43</v>
      </c>
      <c r="G67" s="25">
        <v>41</v>
      </c>
      <c r="H67" s="25">
        <f t="shared" si="0"/>
        <v>2</v>
      </c>
      <c r="I67" s="21" t="str">
        <f t="shared" si="1"/>
        <v/>
      </c>
    </row>
    <row r="68" spans="1:9" hidden="1" x14ac:dyDescent="0.2">
      <c r="A68" s="8">
        <v>65</v>
      </c>
      <c r="B68" s="9" t="s">
        <v>85</v>
      </c>
      <c r="C68" s="10">
        <v>1388.06</v>
      </c>
      <c r="D68" s="16" t="s">
        <v>47</v>
      </c>
      <c r="E68" s="21" t="s">
        <v>25</v>
      </c>
      <c r="F68" s="21"/>
      <c r="G68" s="25"/>
      <c r="H68" s="25">
        <f t="shared" si="0"/>
        <v>0</v>
      </c>
      <c r="I68" s="21" t="str">
        <f t="shared" si="1"/>
        <v/>
      </c>
    </row>
    <row r="69" spans="1:9" hidden="1" x14ac:dyDescent="0.2">
      <c r="A69" s="12">
        <v>66</v>
      </c>
      <c r="B69" s="13" t="s">
        <v>86</v>
      </c>
      <c r="C69" s="14">
        <v>1380.27</v>
      </c>
      <c r="D69" s="17" t="s">
        <v>10</v>
      </c>
      <c r="E69" s="21" t="s">
        <v>25</v>
      </c>
      <c r="F69" s="21"/>
      <c r="G69" s="25"/>
      <c r="H69" s="25">
        <f t="shared" ref="H69:H103" si="2">F69-G69</f>
        <v>0</v>
      </c>
      <c r="I69" s="21" t="str">
        <f t="shared" ref="I69:I103" si="3">IF(SQRT(H69*H69)&gt;$L$1,"X","")</f>
        <v/>
      </c>
    </row>
    <row r="70" spans="1:9" hidden="1" x14ac:dyDescent="0.2">
      <c r="A70" s="8">
        <v>67</v>
      </c>
      <c r="B70" s="9" t="s">
        <v>87</v>
      </c>
      <c r="C70" s="10">
        <v>1371.93</v>
      </c>
      <c r="D70" s="16" t="s">
        <v>10</v>
      </c>
      <c r="E70" s="21" t="s">
        <v>25</v>
      </c>
      <c r="F70" s="21"/>
      <c r="G70" s="25"/>
      <c r="H70" s="25">
        <f t="shared" si="2"/>
        <v>0</v>
      </c>
      <c r="I70" s="21" t="str">
        <f t="shared" si="3"/>
        <v/>
      </c>
    </row>
    <row r="71" spans="1:9" hidden="1" x14ac:dyDescent="0.2">
      <c r="A71" s="12">
        <v>68</v>
      </c>
      <c r="B71" s="13" t="s">
        <v>88</v>
      </c>
      <c r="C71" s="14">
        <v>1371.13</v>
      </c>
      <c r="D71" s="17" t="s">
        <v>10</v>
      </c>
      <c r="E71" s="21" t="s">
        <v>8</v>
      </c>
      <c r="F71" s="21">
        <v>44</v>
      </c>
      <c r="G71" s="25">
        <v>44</v>
      </c>
      <c r="H71" s="25">
        <f t="shared" si="2"/>
        <v>0</v>
      </c>
      <c r="I71" s="21" t="str">
        <f t="shared" si="3"/>
        <v/>
      </c>
    </row>
    <row r="72" spans="1:9" hidden="1" x14ac:dyDescent="0.2">
      <c r="A72" s="8">
        <v>69</v>
      </c>
      <c r="B72" s="9" t="s">
        <v>89</v>
      </c>
      <c r="C72" s="10">
        <v>1370.47</v>
      </c>
      <c r="D72" s="16" t="s">
        <v>10</v>
      </c>
      <c r="E72" s="21" t="s">
        <v>25</v>
      </c>
      <c r="F72" s="21"/>
      <c r="G72" s="25"/>
      <c r="H72" s="25">
        <f t="shared" si="2"/>
        <v>0</v>
      </c>
      <c r="I72" s="21" t="str">
        <f t="shared" si="3"/>
        <v/>
      </c>
    </row>
    <row r="73" spans="1:9" hidden="1" x14ac:dyDescent="0.2">
      <c r="A73" s="12">
        <v>70</v>
      </c>
      <c r="B73" s="13" t="s">
        <v>90</v>
      </c>
      <c r="C73" s="14">
        <v>1362.05</v>
      </c>
      <c r="D73" s="17" t="s">
        <v>10</v>
      </c>
      <c r="E73" s="21" t="s">
        <v>25</v>
      </c>
      <c r="F73" s="21"/>
      <c r="G73" s="25"/>
      <c r="H73" s="25">
        <f t="shared" si="2"/>
        <v>0</v>
      </c>
      <c r="I73" s="21" t="str">
        <f t="shared" si="3"/>
        <v/>
      </c>
    </row>
    <row r="74" spans="1:9" hidden="1" x14ac:dyDescent="0.2">
      <c r="A74" s="8">
        <v>71</v>
      </c>
      <c r="B74" s="9" t="s">
        <v>91</v>
      </c>
      <c r="C74" s="10">
        <v>1358.03</v>
      </c>
      <c r="D74" s="16" t="s">
        <v>10</v>
      </c>
      <c r="E74" s="21" t="s">
        <v>25</v>
      </c>
      <c r="F74" s="21"/>
      <c r="G74" s="25"/>
      <c r="H74" s="25">
        <f t="shared" si="2"/>
        <v>0</v>
      </c>
      <c r="I74" s="21" t="str">
        <f t="shared" si="3"/>
        <v/>
      </c>
    </row>
    <row r="75" spans="1:9" hidden="1" x14ac:dyDescent="0.2">
      <c r="A75" s="12">
        <v>72</v>
      </c>
      <c r="B75" s="13" t="s">
        <v>92</v>
      </c>
      <c r="C75" s="14">
        <v>1350.19</v>
      </c>
      <c r="D75" s="15" t="s">
        <v>15</v>
      </c>
      <c r="E75" s="21" t="s">
        <v>25</v>
      </c>
      <c r="F75" s="21"/>
      <c r="G75" s="25"/>
      <c r="H75" s="25">
        <f t="shared" si="2"/>
        <v>0</v>
      </c>
      <c r="I75" s="21" t="str">
        <f t="shared" si="3"/>
        <v/>
      </c>
    </row>
    <row r="76" spans="1:9" x14ac:dyDescent="0.2">
      <c r="A76" s="8">
        <v>73</v>
      </c>
      <c r="B76" s="9" t="s">
        <v>93</v>
      </c>
      <c r="C76" s="10">
        <v>1346.31</v>
      </c>
      <c r="D76" s="16" t="s">
        <v>10</v>
      </c>
      <c r="E76" s="21" t="s">
        <v>8</v>
      </c>
      <c r="F76" s="21">
        <v>45</v>
      </c>
      <c r="G76" s="25">
        <v>26</v>
      </c>
      <c r="H76" s="25">
        <f t="shared" si="2"/>
        <v>19</v>
      </c>
      <c r="I76" s="21" t="str">
        <f t="shared" si="3"/>
        <v>X</v>
      </c>
    </row>
    <row r="77" spans="1:9" hidden="1" x14ac:dyDescent="0.2">
      <c r="A77" s="12">
        <v>74</v>
      </c>
      <c r="B77" s="13" t="s">
        <v>94</v>
      </c>
      <c r="C77" s="14">
        <v>1345.07</v>
      </c>
      <c r="D77" s="19" t="s">
        <v>13</v>
      </c>
      <c r="E77" s="21" t="s">
        <v>25</v>
      </c>
      <c r="F77" s="21"/>
      <c r="G77" s="25"/>
      <c r="H77" s="25">
        <f t="shared" si="2"/>
        <v>0</v>
      </c>
      <c r="I77" s="21" t="str">
        <f t="shared" si="3"/>
        <v/>
      </c>
    </row>
    <row r="78" spans="1:9" hidden="1" x14ac:dyDescent="0.2">
      <c r="A78" s="8">
        <v>75</v>
      </c>
      <c r="B78" s="9" t="s">
        <v>95</v>
      </c>
      <c r="C78" s="10">
        <v>1341.41</v>
      </c>
      <c r="D78" s="11" t="s">
        <v>13</v>
      </c>
      <c r="E78" s="21" t="s">
        <v>25</v>
      </c>
      <c r="F78" s="21"/>
      <c r="G78" s="25"/>
      <c r="H78" s="25">
        <f t="shared" si="2"/>
        <v>0</v>
      </c>
      <c r="I78" s="21" t="str">
        <f t="shared" si="3"/>
        <v/>
      </c>
    </row>
    <row r="79" spans="1:9" hidden="1" x14ac:dyDescent="0.2">
      <c r="A79" s="12">
        <v>76</v>
      </c>
      <c r="B79" s="13" t="s">
        <v>96</v>
      </c>
      <c r="C79" s="14">
        <v>1329.41</v>
      </c>
      <c r="D79" s="19" t="s">
        <v>13</v>
      </c>
      <c r="E79" s="21" t="s">
        <v>25</v>
      </c>
      <c r="F79" s="21"/>
      <c r="G79" s="25"/>
      <c r="H79" s="25">
        <f t="shared" si="2"/>
        <v>0</v>
      </c>
      <c r="I79" s="21" t="str">
        <f t="shared" si="3"/>
        <v/>
      </c>
    </row>
    <row r="80" spans="1:9" hidden="1" x14ac:dyDescent="0.2">
      <c r="A80" s="8">
        <v>77</v>
      </c>
      <c r="B80" s="9" t="s">
        <v>97</v>
      </c>
      <c r="C80" s="10">
        <v>1328.33</v>
      </c>
      <c r="D80" s="11" t="s">
        <v>13</v>
      </c>
      <c r="E80" s="21" t="s">
        <v>25</v>
      </c>
      <c r="F80" s="21"/>
      <c r="G80" s="25"/>
      <c r="H80" s="25">
        <f t="shared" si="2"/>
        <v>0</v>
      </c>
      <c r="I80" s="21" t="str">
        <f t="shared" si="3"/>
        <v/>
      </c>
    </row>
    <row r="81" spans="1:9" hidden="1" x14ac:dyDescent="0.2">
      <c r="A81" s="12">
        <v>78</v>
      </c>
      <c r="B81" s="13" t="s">
        <v>98</v>
      </c>
      <c r="C81" s="14">
        <v>1318.82</v>
      </c>
      <c r="D81" s="15" t="s">
        <v>15</v>
      </c>
      <c r="E81" s="21" t="s">
        <v>25</v>
      </c>
      <c r="F81" s="21"/>
      <c r="G81" s="25"/>
      <c r="H81" s="25">
        <f t="shared" si="2"/>
        <v>0</v>
      </c>
      <c r="I81" s="21" t="str">
        <f t="shared" si="3"/>
        <v/>
      </c>
    </row>
    <row r="82" spans="1:9" hidden="1" x14ac:dyDescent="0.2">
      <c r="A82" s="8">
        <v>79</v>
      </c>
      <c r="B82" s="9" t="s">
        <v>99</v>
      </c>
      <c r="C82" s="10">
        <v>1313</v>
      </c>
      <c r="D82" s="18" t="s">
        <v>15</v>
      </c>
      <c r="E82" s="21" t="s">
        <v>25</v>
      </c>
      <c r="F82" s="21"/>
      <c r="G82" s="25"/>
      <c r="H82" s="25">
        <f t="shared" si="2"/>
        <v>0</v>
      </c>
      <c r="I82" s="21" t="str">
        <f t="shared" si="3"/>
        <v/>
      </c>
    </row>
    <row r="83" spans="1:9" hidden="1" x14ac:dyDescent="0.2">
      <c r="A83" s="12">
        <v>80</v>
      </c>
      <c r="B83" s="13" t="s">
        <v>100</v>
      </c>
      <c r="C83" s="14">
        <v>1300</v>
      </c>
      <c r="D83" s="19" t="s">
        <v>13</v>
      </c>
      <c r="E83" s="21" t="s">
        <v>25</v>
      </c>
      <c r="F83" s="21"/>
      <c r="G83" s="25"/>
      <c r="H83" s="25">
        <f t="shared" si="2"/>
        <v>0</v>
      </c>
      <c r="I83" s="21" t="str">
        <f t="shared" si="3"/>
        <v/>
      </c>
    </row>
    <row r="84" spans="1:9" hidden="1" x14ac:dyDescent="0.2">
      <c r="A84" s="8">
        <v>81</v>
      </c>
      <c r="B84" s="9" t="s">
        <v>101</v>
      </c>
      <c r="C84" s="10">
        <v>1295</v>
      </c>
      <c r="D84" s="16" t="s">
        <v>10</v>
      </c>
      <c r="E84" s="21" t="s">
        <v>25</v>
      </c>
      <c r="F84" s="21"/>
      <c r="G84" s="25"/>
      <c r="H84" s="25">
        <f t="shared" si="2"/>
        <v>0</v>
      </c>
      <c r="I84" s="21" t="str">
        <f t="shared" si="3"/>
        <v/>
      </c>
    </row>
    <row r="85" spans="1:9" hidden="1" x14ac:dyDescent="0.2">
      <c r="A85" s="12">
        <v>82</v>
      </c>
      <c r="B85" s="13" t="s">
        <v>102</v>
      </c>
      <c r="C85" s="14">
        <v>1294</v>
      </c>
      <c r="D85" s="17" t="s">
        <v>10</v>
      </c>
      <c r="E85" s="21" t="s">
        <v>8</v>
      </c>
      <c r="F85" s="21">
        <v>46</v>
      </c>
      <c r="G85" s="25">
        <v>47</v>
      </c>
      <c r="H85" s="25">
        <f t="shared" si="2"/>
        <v>-1</v>
      </c>
      <c r="I85" s="21" t="str">
        <f t="shared" si="3"/>
        <v/>
      </c>
    </row>
    <row r="86" spans="1:9" hidden="1" x14ac:dyDescent="0.2">
      <c r="A86" s="8">
        <v>83</v>
      </c>
      <c r="B86" s="9" t="s">
        <v>103</v>
      </c>
      <c r="C86" s="10">
        <v>1291</v>
      </c>
      <c r="D86" s="11" t="s">
        <v>13</v>
      </c>
      <c r="E86" s="21" t="s">
        <v>8</v>
      </c>
      <c r="F86" s="21">
        <v>47</v>
      </c>
      <c r="G86" s="25">
        <v>48</v>
      </c>
      <c r="H86" s="25">
        <f t="shared" si="2"/>
        <v>-1</v>
      </c>
      <c r="I86" s="21" t="str">
        <f t="shared" si="3"/>
        <v/>
      </c>
    </row>
    <row r="87" spans="1:9" hidden="1" x14ac:dyDescent="0.2">
      <c r="A87" s="12">
        <v>84</v>
      </c>
      <c r="B87" s="13" t="s">
        <v>104</v>
      </c>
      <c r="C87" s="14">
        <v>1288</v>
      </c>
      <c r="D87" s="19" t="s">
        <v>13</v>
      </c>
      <c r="E87" s="21" t="s">
        <v>25</v>
      </c>
      <c r="F87" s="21"/>
      <c r="G87" s="25"/>
      <c r="H87" s="25">
        <f t="shared" si="2"/>
        <v>0</v>
      </c>
      <c r="I87" s="21" t="str">
        <f t="shared" si="3"/>
        <v/>
      </c>
    </row>
    <row r="88" spans="1:9" x14ac:dyDescent="0.2">
      <c r="A88" s="8">
        <v>85</v>
      </c>
      <c r="B88" s="9" t="s">
        <v>105</v>
      </c>
      <c r="C88" s="10">
        <v>1281</v>
      </c>
      <c r="D88" s="11" t="s">
        <v>13</v>
      </c>
      <c r="E88" s="21" t="s">
        <v>8</v>
      </c>
      <c r="F88" s="21">
        <v>48</v>
      </c>
      <c r="G88" s="25">
        <v>40</v>
      </c>
      <c r="H88" s="25">
        <f t="shared" si="2"/>
        <v>8</v>
      </c>
      <c r="I88" s="21" t="str">
        <f t="shared" si="3"/>
        <v>X</v>
      </c>
    </row>
    <row r="89" spans="1:9" hidden="1" x14ac:dyDescent="0.2">
      <c r="A89" s="12">
        <v>86</v>
      </c>
      <c r="B89" s="13" t="s">
        <v>106</v>
      </c>
      <c r="C89" s="14">
        <v>1278</v>
      </c>
      <c r="D89" s="17" t="s">
        <v>10</v>
      </c>
      <c r="E89" s="21" t="s">
        <v>25</v>
      </c>
      <c r="F89" s="21"/>
      <c r="G89" s="25"/>
      <c r="H89" s="25">
        <f t="shared" si="2"/>
        <v>0</v>
      </c>
      <c r="I89" s="21" t="str">
        <f t="shared" si="3"/>
        <v/>
      </c>
    </row>
    <row r="90" spans="1:9" hidden="1" x14ac:dyDescent="0.2">
      <c r="A90" s="8">
        <v>87</v>
      </c>
      <c r="B90" s="9" t="s">
        <v>107</v>
      </c>
      <c r="C90" s="10">
        <v>1272</v>
      </c>
      <c r="D90" s="16" t="s">
        <v>10</v>
      </c>
      <c r="E90" s="21" t="s">
        <v>25</v>
      </c>
      <c r="F90" s="21"/>
      <c r="G90" s="25"/>
      <c r="H90" s="25">
        <f t="shared" si="2"/>
        <v>0</v>
      </c>
      <c r="I90" s="21" t="str">
        <f t="shared" si="3"/>
        <v/>
      </c>
    </row>
    <row r="91" spans="1:9" hidden="1" x14ac:dyDescent="0.2">
      <c r="A91" s="12">
        <v>88</v>
      </c>
      <c r="B91" s="13" t="s">
        <v>108</v>
      </c>
      <c r="C91" s="14">
        <v>1264</v>
      </c>
      <c r="D91" s="19" t="s">
        <v>13</v>
      </c>
      <c r="E91" s="21" t="s">
        <v>25</v>
      </c>
      <c r="F91" s="21"/>
      <c r="G91" s="25"/>
      <c r="H91" s="25">
        <f t="shared" si="2"/>
        <v>0</v>
      </c>
      <c r="I91" s="21" t="str">
        <f t="shared" si="3"/>
        <v/>
      </c>
    </row>
    <row r="92" spans="1:9" hidden="1" x14ac:dyDescent="0.2">
      <c r="A92" s="8">
        <v>89</v>
      </c>
      <c r="B92" s="9" t="s">
        <v>109</v>
      </c>
      <c r="C92" s="10">
        <v>1263</v>
      </c>
      <c r="D92" s="11" t="s">
        <v>13</v>
      </c>
      <c r="E92" s="21" t="s">
        <v>25</v>
      </c>
      <c r="F92" s="21"/>
      <c r="G92" s="25"/>
      <c r="H92" s="25">
        <f t="shared" si="2"/>
        <v>0</v>
      </c>
      <c r="I92" s="21" t="str">
        <f t="shared" si="3"/>
        <v/>
      </c>
    </row>
    <row r="93" spans="1:9" hidden="1" x14ac:dyDescent="0.2">
      <c r="A93" s="12">
        <v>90</v>
      </c>
      <c r="B93" s="13" t="s">
        <v>110</v>
      </c>
      <c r="C93" s="14">
        <v>1258</v>
      </c>
      <c r="D93" s="17" t="s">
        <v>47</v>
      </c>
      <c r="E93" s="21" t="s">
        <v>25</v>
      </c>
      <c r="F93" s="21"/>
      <c r="G93" s="25"/>
      <c r="H93" s="25">
        <f t="shared" si="2"/>
        <v>0</v>
      </c>
      <c r="I93" s="21" t="str">
        <f t="shared" si="3"/>
        <v/>
      </c>
    </row>
    <row r="94" spans="1:9" hidden="1" x14ac:dyDescent="0.2">
      <c r="A94" s="8">
        <v>91</v>
      </c>
      <c r="B94" s="9" t="s">
        <v>111</v>
      </c>
      <c r="C94" s="10">
        <v>1258</v>
      </c>
      <c r="D94" s="16" t="s">
        <v>10</v>
      </c>
      <c r="E94" s="21" t="s">
        <v>25</v>
      </c>
      <c r="F94" s="21"/>
      <c r="G94" s="25"/>
      <c r="H94" s="25">
        <f t="shared" si="2"/>
        <v>0</v>
      </c>
      <c r="I94" s="21" t="str">
        <f t="shared" si="3"/>
        <v/>
      </c>
    </row>
    <row r="95" spans="1:9" hidden="1" x14ac:dyDescent="0.2">
      <c r="A95" s="12">
        <v>92</v>
      </c>
      <c r="B95" s="13" t="s">
        <v>112</v>
      </c>
      <c r="C95" s="14">
        <v>1255</v>
      </c>
      <c r="D95" s="17" t="s">
        <v>10</v>
      </c>
      <c r="E95" s="21" t="s">
        <v>25</v>
      </c>
      <c r="F95" s="21"/>
      <c r="G95" s="25"/>
      <c r="H95" s="25">
        <f t="shared" si="2"/>
        <v>0</v>
      </c>
      <c r="I95" s="21" t="str">
        <f t="shared" si="3"/>
        <v/>
      </c>
    </row>
    <row r="96" spans="1:9" hidden="1" x14ac:dyDescent="0.2">
      <c r="A96" s="8">
        <v>93</v>
      </c>
      <c r="B96" s="9" t="s">
        <v>113</v>
      </c>
      <c r="C96" s="10">
        <v>1252</v>
      </c>
      <c r="D96" s="16" t="s">
        <v>39</v>
      </c>
      <c r="E96" s="21" t="s">
        <v>25</v>
      </c>
      <c r="F96" s="21"/>
      <c r="G96" s="25"/>
      <c r="H96" s="25">
        <f t="shared" si="2"/>
        <v>0</v>
      </c>
      <c r="I96" s="21" t="str">
        <f t="shared" si="3"/>
        <v/>
      </c>
    </row>
    <row r="97" spans="1:9" hidden="1" x14ac:dyDescent="0.2">
      <c r="A97" s="12">
        <v>94</v>
      </c>
      <c r="B97" s="13" t="s">
        <v>114</v>
      </c>
      <c r="C97" s="14">
        <v>1251</v>
      </c>
      <c r="D97" s="17" t="s">
        <v>10</v>
      </c>
      <c r="E97" s="21" t="s">
        <v>25</v>
      </c>
      <c r="F97" s="21"/>
      <c r="G97" s="25"/>
      <c r="H97" s="25">
        <f t="shared" si="2"/>
        <v>0</v>
      </c>
      <c r="I97" s="21" t="str">
        <f t="shared" si="3"/>
        <v/>
      </c>
    </row>
    <row r="98" spans="1:9" hidden="1" x14ac:dyDescent="0.2">
      <c r="A98" s="8">
        <v>95</v>
      </c>
      <c r="B98" s="9" t="s">
        <v>115</v>
      </c>
      <c r="C98" s="10">
        <v>1244</v>
      </c>
      <c r="D98" s="11" t="s">
        <v>13</v>
      </c>
      <c r="E98" s="21" t="s">
        <v>25</v>
      </c>
      <c r="F98" s="21"/>
      <c r="G98" s="25"/>
      <c r="H98" s="25">
        <f t="shared" si="2"/>
        <v>0</v>
      </c>
      <c r="I98" s="21" t="str">
        <f t="shared" si="3"/>
        <v/>
      </c>
    </row>
    <row r="99" spans="1:9" hidden="1" x14ac:dyDescent="0.2">
      <c r="A99" s="12">
        <v>96</v>
      </c>
      <c r="B99" s="13" t="s">
        <v>116</v>
      </c>
      <c r="C99" s="14">
        <v>1243</v>
      </c>
      <c r="D99" s="17" t="s">
        <v>47</v>
      </c>
      <c r="E99" s="21" t="s">
        <v>25</v>
      </c>
      <c r="F99" s="21"/>
      <c r="G99" s="25"/>
      <c r="H99" s="25">
        <f t="shared" si="2"/>
        <v>0</v>
      </c>
      <c r="I99" s="21" t="str">
        <f t="shared" si="3"/>
        <v/>
      </c>
    </row>
    <row r="100" spans="1:9" hidden="1" x14ac:dyDescent="0.2">
      <c r="A100" s="8">
        <v>97</v>
      </c>
      <c r="B100" s="9" t="s">
        <v>117</v>
      </c>
      <c r="C100" s="10">
        <v>1235</v>
      </c>
      <c r="D100" s="16" t="s">
        <v>10</v>
      </c>
      <c r="E100" s="21" t="s">
        <v>25</v>
      </c>
      <c r="F100" s="21"/>
      <c r="G100" s="25"/>
      <c r="H100" s="25">
        <f t="shared" si="2"/>
        <v>0</v>
      </c>
      <c r="I100" s="21" t="str">
        <f t="shared" si="3"/>
        <v/>
      </c>
    </row>
    <row r="101" spans="1:9" hidden="1" x14ac:dyDescent="0.2">
      <c r="A101" s="12">
        <v>98</v>
      </c>
      <c r="B101" s="13" t="s">
        <v>118</v>
      </c>
      <c r="C101" s="14">
        <v>1227</v>
      </c>
      <c r="D101" s="17" t="s">
        <v>56</v>
      </c>
      <c r="E101" s="21" t="s">
        <v>25</v>
      </c>
      <c r="F101" s="21"/>
      <c r="G101" s="25"/>
      <c r="H101" s="25">
        <f t="shared" si="2"/>
        <v>0</v>
      </c>
      <c r="I101" s="21" t="str">
        <f t="shared" si="3"/>
        <v/>
      </c>
    </row>
    <row r="102" spans="1:9" hidden="1" x14ac:dyDescent="0.2">
      <c r="A102" s="8">
        <v>99</v>
      </c>
      <c r="B102" s="9" t="s">
        <v>119</v>
      </c>
      <c r="C102" s="10">
        <v>1225</v>
      </c>
      <c r="D102" s="16" t="s">
        <v>120</v>
      </c>
      <c r="E102" s="21" t="s">
        <v>25</v>
      </c>
      <c r="F102" s="21"/>
      <c r="G102" s="25"/>
      <c r="H102" s="25">
        <f t="shared" si="2"/>
        <v>0</v>
      </c>
      <c r="I102" s="21" t="str">
        <f t="shared" si="3"/>
        <v/>
      </c>
    </row>
    <row r="103" spans="1:9" hidden="1" x14ac:dyDescent="0.2">
      <c r="A103" s="12">
        <v>100</v>
      </c>
      <c r="B103" s="13" t="s">
        <v>121</v>
      </c>
      <c r="C103" s="14">
        <v>1225</v>
      </c>
      <c r="D103" s="17" t="s">
        <v>10</v>
      </c>
      <c r="E103" s="21" t="s">
        <v>25</v>
      </c>
      <c r="F103" s="21"/>
      <c r="G103" s="25"/>
      <c r="H103" s="25">
        <f t="shared" si="2"/>
        <v>0</v>
      </c>
      <c r="I103" s="21" t="str">
        <f t="shared" si="3"/>
        <v/>
      </c>
    </row>
    <row r="104" spans="1:9" hidden="1" x14ac:dyDescent="0.2">
      <c r="A104" s="20" t="s">
        <v>122</v>
      </c>
    </row>
  </sheetData>
  <autoFilter ref="A3:I104" xr:uid="{00000000-0001-0000-0000-000000000000}">
    <filterColumn colId="8">
      <customFilters>
        <customFilter operator="notEqual" val=" "/>
      </customFilters>
    </filterColumn>
  </autoFilter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FIFA Rankings Apr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Hayles</cp:lastModifiedBy>
  <dcterms:created xsi:type="dcterms:W3CDTF">2026-04-07T01:56:24Z</dcterms:created>
  <dcterms:modified xsi:type="dcterms:W3CDTF">2026-04-08T07:23:41Z</dcterms:modified>
</cp:coreProperties>
</file>